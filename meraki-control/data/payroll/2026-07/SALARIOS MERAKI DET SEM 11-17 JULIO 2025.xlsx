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JUNIO 2025\"/>
    </mc:Choice>
  </mc:AlternateContent>
  <xr:revisionPtr revIDLastSave="0" documentId="13_ncr:1_{874B7541-ED62-4A8F-AAFB-AA24263F2BE8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  <c r="H8" i="1"/>
</calcChain>
</file>

<file path=xl/sharedStrings.xml><?xml version="1.0" encoding="utf-8"?>
<sst xmlns="http://schemas.openxmlformats.org/spreadsheetml/2006/main" count="344" uniqueCount="77">
  <si>
    <t>Cantidad</t>
  </si>
  <si>
    <t>Desc. empleado</t>
  </si>
  <si>
    <t>ALEJANDRO XAVIER SALAZAR CARVAJAL</t>
  </si>
  <si>
    <t>ANDRES NAUN ROJAS CHAVARRIA</t>
  </si>
  <si>
    <t>BRYAN ONIEL ZAMORA CRUZ</t>
  </si>
  <si>
    <t>BYRON ANTONIO ESPINOZA ALVARADO</t>
  </si>
  <si>
    <t>CARMEN ISABEL MUÑOZ ESPINOZA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</si>
  <si>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</si>
  <si>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</si>
  <si>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</si>
  <si>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</si>
  <si>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</si>
  <si>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</si>
  <si>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</si>
  <si>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</si>
  <si>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</si>
  <si>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</si>
  <si>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</si>
  <si>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</si>
  <si>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</si>
  <si>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KIMBERLEEN PAOLA MOLINA SOTO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</si>
  <si>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</si>
  <si>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</si>
  <si>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</si>
  <si>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</si>
  <si>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</si>
  <si>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</si>
  <si>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</si>
  <si>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</si>
  <si>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</si>
  <si>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</si>
  <si>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</si>
  <si>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</si>
  <si>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</si>
  <si>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</si>
  <si>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Goce de vacaciones</t>
  </si>
  <si>
    <t/>
  </si>
  <si>
    <t>Horas Apoyo Esh</t>
  </si>
  <si>
    <t>Horas Extras Diurnas</t>
  </si>
  <si>
    <t>Horas Regulares Diurnas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</si>
  <si>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</si>
  <si>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</si>
  <si>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</si>
  <si>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</si>
  <si>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</si>
  <si>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</si>
  <si>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>NOMINA LA LUNA SEM 11-17 JULIO 2025</t>
  </si>
  <si>
    <t>NOMINA COYOL SEM 11-17 JULIO 2025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</si>
  <si>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</si>
  <si>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</si>
  <si>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</si>
  <si>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</si>
  <si>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</si>
  <si>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LUIS ALEJANDRO ARCE ALFARO</t>
  </si>
  <si>
    <t>MARIO ALBERTO CAMPOS CASTILLO</t>
  </si>
  <si>
    <t>MOISES DORMUZ CASTILLO</t>
  </si>
  <si>
    <t>YEFERSON JESUA RIVERA GUEVARA</t>
  </si>
  <si>
    <t>YORDANY DIAZ MATARRITA</t>
  </si>
  <si>
    <t>YUSTIN ANDRES PEREZ VALENCIA</t>
  </si>
  <si>
    <t>NOMINA ESH SEM 11-17 JULIO 2025</t>
  </si>
  <si>
    <t>ADRIANA MACIEL CRUZ CRUZ</t>
  </si>
  <si>
    <t>CARLOS CABRERA VEGA</t>
  </si>
  <si>
    <t>DARIN TUGWELL RODRIGUEZ</t>
  </si>
  <si>
    <t>GABRIELA HERRERA MONTIEL</t>
  </si>
  <si>
    <t>GRISELL DAYANNA LOPEZ ALVAREZ</t>
  </si>
  <si>
    <t>JUAN RAMON CASTILLO ALVARADO</t>
  </si>
  <si>
    <t>LUIS GUILLERMO QUESADA HERRADORA</t>
  </si>
  <si>
    <t>MEYLING URBINA MARTINEZ</t>
  </si>
  <si>
    <t>SILVIA PILAR RODRIGUEZ MATARRITA</t>
  </si>
  <si>
    <t>NOMINA ESPECIAL SEM 11-17 JULIO 2025</t>
  </si>
  <si>
    <t>ALEJANDRO COYOL</t>
  </si>
  <si>
    <t>ANA APOYO LUNA</t>
  </si>
  <si>
    <t>DARWIN TUGWELL FONSECA</t>
  </si>
  <si>
    <t>ELVIN JAVIER LOPEZ LOPEZ</t>
  </si>
  <si>
    <t>JASSON ESPINOZA MUÑOZ</t>
  </si>
  <si>
    <t>LILIA JADEN HINTZ ESH</t>
  </si>
  <si>
    <t>MARCO GERVASINI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</si>
</sst>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0" borderId="0" xfId="0" applyFont="1"/>
    <xf numFmtId="4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showGridLines="0" topLeftCell="A4" workbookViewId="0">
      <selection activeCell="A2" sqref="A2:C2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9" width="14.28515625" customWidth="1"/>
    <col min="10" max="10" width="7.140625" bestFit="1" customWidth="1"/>
    <col min="11" max="19" width="14.28515625" customWidth="1"/>
  </cols>
  <sheetData>
    <row r="1" spans="1:19" ht="15" customHeight="1" x14ac:dyDescent="0.25">
      <c r="A1" s="7" t="s">
        <v>46</v>
      </c>
      <c r="B1" s="8"/>
      <c r="C1" s="9"/>
      <c r="D1" s="3"/>
      <c r="E1" s="3"/>
      <c r="F1" s="4" t="s">
        <v>35</v>
      </c>
      <c r="G1" s="4"/>
      <c r="H1" s="4" t="s">
        <v>37</v>
      </c>
      <c r="I1" s="4"/>
      <c r="J1" s="4" t="s">
        <v>38</v>
      </c>
      <c r="K1" s="4"/>
      <c r="L1" s="4" t="s">
        <v>39</v>
      </c>
      <c r="M1" s="4"/>
      <c r="N1" s="3" t="s">
        <v>41</v>
      </c>
      <c r="O1" s="3" t="s">
        <v>42</v>
      </c>
      <c r="P1" s="3" t="s">
        <v>43</v>
      </c>
      <c r="Q1" s="3" t="s">
        <v>44</v>
      </c>
      <c r="R1" s="3" t="s">
        <v>45</v>
      </c>
      <c r="S1" s="3" t="s">
        <v>40</v>
      </c>
    </row>
    <row r="2" spans="1:19" ht="15" customHeight="1" x14ac:dyDescent="0.25">
      <c r="A2" s="5" t="s">
        <v>1</v>
      </c>
      <c r="B2" s="5"/>
      <c r="C2" s="5"/>
      <c r="D2" s="6" t="s">
        <v>33</v>
      </c>
      <c r="E2" s="3" t="s">
        <v>34</v>
      </c>
      <c r="F2" s="6" t="s">
        <v>0</v>
      </c>
      <c r="G2" s="6" t="s">
        <v>32</v>
      </c>
      <c r="H2" s="6" t="s">
        <v>0</v>
      </c>
      <c r="I2" s="6" t="s">
        <v>32</v>
      </c>
      <c r="J2" s="6" t="s">
        <v>0</v>
      </c>
      <c r="K2" s="6" t="s">
        <v>32</v>
      </c>
      <c r="L2" s="6" t="s">
        <v>0</v>
      </c>
      <c r="M2" s="6" t="s">
        <v>32</v>
      </c>
      <c r="N2" s="6" t="s">
        <v>32</v>
      </c>
      <c r="O2" s="6" t="s">
        <v>32</v>
      </c>
      <c r="P2" s="6" t="s">
        <v>32</v>
      </c>
      <c r="Q2" s="6" t="s">
        <v>32</v>
      </c>
      <c r="R2" s="6" t="s">
        <v>32</v>
      </c>
      <c r="S2" s="6" t="s">
        <v>32</v>
      </c>
    </row>
    <row r="3" spans="1:19" ht="15" customHeight="1" x14ac:dyDescent="0.25">
      <c r="A3" s="1" t="s">
        <v>2</v>
      </c>
      <c r="B3" s="1"/>
      <c r="C3" s="1"/>
      <c r="D3" s="2">
        <v>30363.8</v>
      </c>
      <c r="E3" s="2">
        <v>12147.8</v>
      </c>
      <c r="F3" s="2" t="s">
        <v>36</v>
      </c>
      <c r="G3" s="2" t="s">
        <v>36</v>
      </c>
      <c r="H3" s="2" t="s">
        <v>36</v>
      </c>
      <c r="I3" s="2" t="s">
        <v>36</v>
      </c>
      <c r="J3" s="2">
        <v>2.5</v>
      </c>
      <c r="K3" s="2">
        <v>8250</v>
      </c>
      <c r="L3" s="2">
        <v>48</v>
      </c>
      <c r="M3" s="2">
        <v>105600</v>
      </c>
      <c r="N3" s="2" t="s">
        <v>36</v>
      </c>
      <c r="O3" s="2">
        <v>113850</v>
      </c>
      <c r="P3" s="2">
        <v>101702.2</v>
      </c>
      <c r="Q3" s="2">
        <v>45251.5</v>
      </c>
      <c r="R3" s="2" t="s">
        <v>36</v>
      </c>
      <c r="S3" s="2">
        <v>146953.70000000001</v>
      </c>
    </row>
    <row r="4" spans="1:19" ht="15" customHeight="1" x14ac:dyDescent="0.25">
      <c r="A4" s="1" t="s">
        <v>3</v>
      </c>
      <c r="B4" s="1"/>
      <c r="C4" s="1"/>
      <c r="D4" s="2">
        <v>31283.91</v>
      </c>
      <c r="E4" s="2">
        <v>12515.91</v>
      </c>
      <c r="F4" s="2" t="s">
        <v>36</v>
      </c>
      <c r="G4" s="2" t="s">
        <v>36</v>
      </c>
      <c r="H4" s="2" t="s">
        <v>36</v>
      </c>
      <c r="I4" s="2" t="s">
        <v>36</v>
      </c>
      <c r="J4" s="2">
        <v>2</v>
      </c>
      <c r="K4" s="2">
        <v>6900</v>
      </c>
      <c r="L4" s="2">
        <v>48</v>
      </c>
      <c r="M4" s="2">
        <v>110400</v>
      </c>
      <c r="N4" s="2" t="s">
        <v>36</v>
      </c>
      <c r="O4" s="2">
        <v>117300</v>
      </c>
      <c r="P4" s="2">
        <v>104784.09</v>
      </c>
      <c r="Q4" s="2">
        <v>26118.720000000001</v>
      </c>
      <c r="R4" s="2" t="s">
        <v>36</v>
      </c>
      <c r="S4" s="2">
        <v>130902.81</v>
      </c>
    </row>
    <row r="5" spans="1:19" ht="15" customHeight="1" x14ac:dyDescent="0.25">
      <c r="A5" s="1" t="s">
        <v>4</v>
      </c>
      <c r="B5" s="1"/>
      <c r="C5" s="1"/>
      <c r="D5" s="2">
        <v>25603.200000000001</v>
      </c>
      <c r="E5" s="2">
        <v>10243.200000000001</v>
      </c>
      <c r="F5" s="2" t="s">
        <v>36</v>
      </c>
      <c r="G5" s="2" t="s">
        <v>36</v>
      </c>
      <c r="H5" s="2" t="s">
        <v>36</v>
      </c>
      <c r="I5" s="2" t="s">
        <v>36</v>
      </c>
      <c r="J5" s="2">
        <v>0</v>
      </c>
      <c r="K5" s="2">
        <v>0</v>
      </c>
      <c r="L5" s="2">
        <v>48</v>
      </c>
      <c r="M5" s="2">
        <v>96000</v>
      </c>
      <c r="N5" s="2" t="s">
        <v>36</v>
      </c>
      <c r="O5" s="2">
        <v>96000</v>
      </c>
      <c r="P5" s="2">
        <v>85756.800000000003</v>
      </c>
      <c r="Q5" s="2">
        <v>51109.04</v>
      </c>
      <c r="R5" s="2" t="s">
        <v>36</v>
      </c>
      <c r="S5" s="2">
        <v>136865.84</v>
      </c>
    </row>
    <row r="6" spans="1:19" ht="15" customHeight="1" x14ac:dyDescent="0.25">
      <c r="A6" s="1" t="s">
        <v>5</v>
      </c>
      <c r="B6" s="1"/>
      <c r="C6" s="1"/>
      <c r="D6" s="2">
        <v>46251.11</v>
      </c>
      <c r="E6" s="2">
        <v>18503.91</v>
      </c>
      <c r="F6" s="2">
        <v>48</v>
      </c>
      <c r="G6" s="2">
        <v>124800</v>
      </c>
      <c r="H6" s="2" t="s">
        <v>36</v>
      </c>
      <c r="I6" s="2" t="s">
        <v>36</v>
      </c>
      <c r="J6" s="2">
        <v>0</v>
      </c>
      <c r="K6" s="2">
        <v>0</v>
      </c>
      <c r="L6" s="2">
        <v>18.7</v>
      </c>
      <c r="M6" s="2">
        <v>48620</v>
      </c>
      <c r="N6" s="2">
        <v>10000</v>
      </c>
      <c r="O6" s="2">
        <v>173420</v>
      </c>
      <c r="P6" s="2">
        <v>144916.09</v>
      </c>
      <c r="Q6" s="2">
        <v>9100.77</v>
      </c>
      <c r="R6" s="2" t="s">
        <v>36</v>
      </c>
      <c r="S6" s="2">
        <v>154016.85999999999</v>
      </c>
    </row>
    <row r="7" spans="1:19" ht="15" customHeight="1" x14ac:dyDescent="0.25">
      <c r="A7" s="1" t="s">
        <v>6</v>
      </c>
      <c r="B7" s="1"/>
      <c r="C7" s="1"/>
      <c r="D7" s="2">
        <v>21226.65</v>
      </c>
      <c r="E7" s="2">
        <v>8492.25</v>
      </c>
      <c r="F7" s="2" t="s">
        <v>36</v>
      </c>
      <c r="G7" s="2" t="s">
        <v>36</v>
      </c>
      <c r="H7" s="2" t="s">
        <v>36</v>
      </c>
      <c r="I7" s="2" t="s">
        <v>36</v>
      </c>
      <c r="J7" s="2">
        <v>0</v>
      </c>
      <c r="K7" s="2">
        <v>0</v>
      </c>
      <c r="L7" s="2">
        <v>37.9</v>
      </c>
      <c r="M7" s="2">
        <v>79590</v>
      </c>
      <c r="N7" s="2" t="s">
        <v>36</v>
      </c>
      <c r="O7" s="2">
        <v>79590</v>
      </c>
      <c r="P7" s="2">
        <v>71097.75</v>
      </c>
      <c r="Q7" s="2" t="s">
        <v>36</v>
      </c>
      <c r="R7" s="2">
        <v>206133.85</v>
      </c>
      <c r="S7" s="2">
        <v>277231.59999999998</v>
      </c>
    </row>
    <row r="8" spans="1:19" ht="15" customHeight="1" x14ac:dyDescent="0.25">
      <c r="A8" s="1" t="s">
        <v>7</v>
      </c>
      <c r="B8" s="1"/>
      <c r="C8" s="1"/>
      <c r="D8" s="2">
        <v>20589.240000000002</v>
      </c>
      <c r="E8" s="2">
        <v>8237.24</v>
      </c>
      <c r="F8" s="2" t="s">
        <v>36</v>
      </c>
      <c r="G8" s="2" t="s">
        <v>36</v>
      </c>
      <c r="H8" s="2">
        <f>I8/2200</f>
        <v>7</v>
      </c>
      <c r="I8" s="2">
        <v>15400</v>
      </c>
      <c r="J8" s="2">
        <v>0</v>
      </c>
      <c r="K8" s="2">
        <v>0</v>
      </c>
      <c r="L8" s="2">
        <v>30.9</v>
      </c>
      <c r="M8" s="2">
        <v>61800</v>
      </c>
      <c r="N8" s="2" t="s">
        <v>36</v>
      </c>
      <c r="O8" s="2">
        <v>77200</v>
      </c>
      <c r="P8" s="2">
        <v>68962.759999999995</v>
      </c>
      <c r="Q8" s="2" t="s">
        <v>36</v>
      </c>
      <c r="R8" s="2">
        <v>181046.28</v>
      </c>
      <c r="S8" s="2">
        <v>250009.04</v>
      </c>
    </row>
    <row r="9" spans="1:19" ht="15" customHeight="1" x14ac:dyDescent="0.25">
      <c r="A9" s="1" t="s">
        <v>8</v>
      </c>
      <c r="B9" s="1"/>
      <c r="C9" s="1"/>
      <c r="D9" s="2">
        <v>15090.15</v>
      </c>
      <c r="E9" s="2">
        <v>6037.19</v>
      </c>
      <c r="F9" s="2" t="s">
        <v>36</v>
      </c>
      <c r="G9" s="2" t="s">
        <v>36</v>
      </c>
      <c r="H9" s="2" t="s">
        <v>36</v>
      </c>
      <c r="I9" s="2" t="s">
        <v>36</v>
      </c>
      <c r="J9" s="2">
        <v>0</v>
      </c>
      <c r="K9" s="2">
        <v>0</v>
      </c>
      <c r="L9" s="2">
        <v>34.25</v>
      </c>
      <c r="M9" s="2">
        <v>56581</v>
      </c>
      <c r="N9" s="2" t="s">
        <v>36</v>
      </c>
      <c r="O9" s="2">
        <v>56581</v>
      </c>
      <c r="P9" s="2">
        <v>50543.81</v>
      </c>
      <c r="Q9" s="2" t="s">
        <v>36</v>
      </c>
      <c r="R9" s="2">
        <v>256493.49</v>
      </c>
      <c r="S9" s="2">
        <v>307037.3</v>
      </c>
    </row>
    <row r="10" spans="1:19" ht="15" customHeight="1" x14ac:dyDescent="0.25">
      <c r="A10" s="1" t="s">
        <v>9</v>
      </c>
      <c r="B10" s="1"/>
      <c r="C10" s="1"/>
      <c r="D10" s="2">
        <v>33284.160000000003</v>
      </c>
      <c r="E10" s="2">
        <v>13316.16</v>
      </c>
      <c r="F10" s="2" t="s">
        <v>36</v>
      </c>
      <c r="G10" s="2" t="s">
        <v>36</v>
      </c>
      <c r="H10" s="2" t="s">
        <v>36</v>
      </c>
      <c r="I10" s="2" t="s">
        <v>36</v>
      </c>
      <c r="J10" s="2">
        <v>0</v>
      </c>
      <c r="K10" s="2">
        <v>0</v>
      </c>
      <c r="L10" s="2">
        <v>48</v>
      </c>
      <c r="M10" s="2">
        <v>124800</v>
      </c>
      <c r="N10" s="2" t="s">
        <v>36</v>
      </c>
      <c r="O10" s="2">
        <v>124800</v>
      </c>
      <c r="P10" s="2">
        <v>111483.84</v>
      </c>
      <c r="Q10" s="2">
        <v>58128.01</v>
      </c>
      <c r="R10" s="2" t="s">
        <v>36</v>
      </c>
      <c r="S10" s="2">
        <v>169611.85</v>
      </c>
    </row>
    <row r="11" spans="1:19" ht="15" customHeight="1" x14ac:dyDescent="0.25">
      <c r="A11" s="1" t="s">
        <v>10</v>
      </c>
      <c r="B11" s="1"/>
      <c r="C11" s="1"/>
      <c r="D11" s="2">
        <v>23576.28</v>
      </c>
      <c r="E11" s="2">
        <v>9432.2800000000007</v>
      </c>
      <c r="F11" s="2" t="s">
        <v>36</v>
      </c>
      <c r="G11" s="2" t="s">
        <v>36</v>
      </c>
      <c r="H11" s="2" t="s">
        <v>36</v>
      </c>
      <c r="I11" s="2" t="s">
        <v>36</v>
      </c>
      <c r="J11" s="2">
        <v>0</v>
      </c>
      <c r="K11" s="2">
        <v>0</v>
      </c>
      <c r="L11" s="2">
        <v>44.2</v>
      </c>
      <c r="M11" s="2">
        <v>88400</v>
      </c>
      <c r="N11" s="2" t="s">
        <v>36</v>
      </c>
      <c r="O11" s="2">
        <v>88400</v>
      </c>
      <c r="P11" s="2">
        <v>78967.72</v>
      </c>
      <c r="Q11" s="2">
        <v>58128.01</v>
      </c>
      <c r="R11" s="2" t="s">
        <v>36</v>
      </c>
      <c r="S11" s="2">
        <v>137095.73000000001</v>
      </c>
    </row>
    <row r="12" spans="1:19" ht="15" customHeight="1" x14ac:dyDescent="0.25">
      <c r="A12" s="1" t="s">
        <v>11</v>
      </c>
      <c r="B12" s="1"/>
      <c r="C12" s="1"/>
      <c r="D12" s="2">
        <v>28163.52</v>
      </c>
      <c r="E12" s="2">
        <v>11267.52</v>
      </c>
      <c r="F12" s="2" t="s">
        <v>36</v>
      </c>
      <c r="G12" s="2" t="s">
        <v>36</v>
      </c>
      <c r="H12" s="2" t="s">
        <v>36</v>
      </c>
      <c r="I12" s="2" t="s">
        <v>36</v>
      </c>
      <c r="J12" s="2">
        <v>0</v>
      </c>
      <c r="K12" s="2">
        <v>0</v>
      </c>
      <c r="L12" s="2">
        <v>48</v>
      </c>
      <c r="M12" s="2">
        <v>105600</v>
      </c>
      <c r="N12" s="2" t="s">
        <v>36</v>
      </c>
      <c r="O12" s="2">
        <v>105600</v>
      </c>
      <c r="P12" s="2">
        <v>94332.479999999996</v>
      </c>
      <c r="Q12" s="2">
        <v>58128.01</v>
      </c>
      <c r="R12" s="2" t="s">
        <v>36</v>
      </c>
      <c r="S12" s="2">
        <v>152460.49</v>
      </c>
    </row>
    <row r="13" spans="1:19" ht="15" customHeight="1" x14ac:dyDescent="0.25">
      <c r="A13" s="1" t="s">
        <v>12</v>
      </c>
      <c r="B13" s="1"/>
      <c r="C13" s="1"/>
      <c r="D13" s="2">
        <v>33484.19</v>
      </c>
      <c r="E13" s="2">
        <v>13396.19</v>
      </c>
      <c r="F13" s="2" t="s">
        <v>36</v>
      </c>
      <c r="G13" s="2" t="s">
        <v>36</v>
      </c>
      <c r="H13" s="2" t="s">
        <v>36</v>
      </c>
      <c r="I13" s="2" t="s">
        <v>36</v>
      </c>
      <c r="J13" s="2">
        <v>0</v>
      </c>
      <c r="K13" s="2">
        <v>0</v>
      </c>
      <c r="L13" s="2">
        <v>40.5</v>
      </c>
      <c r="M13" s="2">
        <v>125550</v>
      </c>
      <c r="N13" s="2">
        <v>25000</v>
      </c>
      <c r="O13" s="2">
        <v>125550</v>
      </c>
      <c r="P13" s="2">
        <v>87153.81</v>
      </c>
      <c r="Q13" s="2" t="s">
        <v>36</v>
      </c>
      <c r="R13" s="2">
        <v>332865.5</v>
      </c>
      <c r="S13" s="2">
        <v>420019.31</v>
      </c>
    </row>
    <row r="14" spans="1:19" ht="15" customHeight="1" x14ac:dyDescent="0.25">
      <c r="A14" s="1" t="s">
        <v>13</v>
      </c>
      <c r="B14" s="1"/>
      <c r="C14" s="1"/>
      <c r="D14" s="2">
        <v>18702.98</v>
      </c>
      <c r="E14" s="2">
        <v>7482.59</v>
      </c>
      <c r="F14" s="2" t="s">
        <v>36</v>
      </c>
      <c r="G14" s="2" t="s">
        <v>36</v>
      </c>
      <c r="H14" s="2" t="s">
        <v>36</v>
      </c>
      <c r="I14" s="2" t="s">
        <v>36</v>
      </c>
      <c r="J14" s="2">
        <v>0</v>
      </c>
      <c r="K14" s="2">
        <v>0</v>
      </c>
      <c r="L14" s="2">
        <v>42.45</v>
      </c>
      <c r="M14" s="2">
        <v>70127.399999999994</v>
      </c>
      <c r="N14" s="2" t="s">
        <v>36</v>
      </c>
      <c r="O14" s="2">
        <v>70127.399999999994</v>
      </c>
      <c r="P14" s="2">
        <v>62644.81</v>
      </c>
      <c r="Q14" s="2" t="s">
        <v>36</v>
      </c>
      <c r="R14" s="2">
        <v>272976.08</v>
      </c>
      <c r="S14" s="2">
        <v>335620.89</v>
      </c>
    </row>
    <row r="15" spans="1:19" ht="15" customHeight="1" x14ac:dyDescent="0.25">
      <c r="A15" s="1" t="s">
        <v>14</v>
      </c>
      <c r="B15" s="1"/>
      <c r="C15" s="1"/>
      <c r="D15" s="2">
        <v>53366.67</v>
      </c>
      <c r="E15" s="2">
        <v>21350.67</v>
      </c>
      <c r="F15" s="2">
        <v>48</v>
      </c>
      <c r="G15" s="2">
        <v>144000</v>
      </c>
      <c r="H15" s="2" t="s">
        <v>36</v>
      </c>
      <c r="I15" s="2" t="s">
        <v>36</v>
      </c>
      <c r="J15" s="2">
        <v>0</v>
      </c>
      <c r="K15" s="2">
        <v>0</v>
      </c>
      <c r="L15" s="2">
        <v>18.7</v>
      </c>
      <c r="M15" s="2">
        <v>56100</v>
      </c>
      <c r="N15" s="2">
        <v>10000</v>
      </c>
      <c r="O15" s="2">
        <v>200100</v>
      </c>
      <c r="P15" s="2">
        <v>168749.33</v>
      </c>
      <c r="Q15" s="2">
        <v>18506.740000000002</v>
      </c>
      <c r="R15" s="2" t="s">
        <v>36</v>
      </c>
      <c r="S15" s="2">
        <v>187256.07</v>
      </c>
    </row>
    <row r="16" spans="1:19" ht="15" customHeight="1" x14ac:dyDescent="0.25">
      <c r="A16" s="1" t="s">
        <v>15</v>
      </c>
      <c r="B16" s="1"/>
      <c r="C16" s="1"/>
      <c r="D16" s="2">
        <v>25603.200000000001</v>
      </c>
      <c r="E16" s="2">
        <v>10243.200000000001</v>
      </c>
      <c r="F16" s="2" t="s">
        <v>36</v>
      </c>
      <c r="G16" s="2" t="s">
        <v>36</v>
      </c>
      <c r="H16" s="2">
        <f>I16/2200</f>
        <v>27.6</v>
      </c>
      <c r="I16" s="2">
        <v>60720</v>
      </c>
      <c r="J16" s="2">
        <v>0</v>
      </c>
      <c r="K16" s="2">
        <v>0</v>
      </c>
      <c r="L16" s="2">
        <v>19.600000000000001</v>
      </c>
      <c r="M16" s="2">
        <v>35280</v>
      </c>
      <c r="N16" s="2">
        <v>25000</v>
      </c>
      <c r="O16" s="2">
        <v>96000</v>
      </c>
      <c r="P16" s="2">
        <v>60756.800000000003</v>
      </c>
      <c r="Q16" s="2" t="s">
        <v>36</v>
      </c>
      <c r="R16" s="2">
        <v>158927.75</v>
      </c>
      <c r="S16" s="2">
        <v>219684.55</v>
      </c>
    </row>
    <row r="17" spans="1:19" ht="15" customHeight="1" x14ac:dyDescent="0.25">
      <c r="A17" s="1" t="s">
        <v>16</v>
      </c>
      <c r="B17" s="1"/>
      <c r="C17" s="1"/>
      <c r="D17" s="2">
        <v>12733</v>
      </c>
      <c r="E17" s="2">
        <v>5094.16</v>
      </c>
      <c r="F17" s="2" t="s">
        <v>36</v>
      </c>
      <c r="G17" s="2" t="s">
        <v>36</v>
      </c>
      <c r="H17" s="2" t="s">
        <v>36</v>
      </c>
      <c r="I17" s="2" t="s">
        <v>36</v>
      </c>
      <c r="J17" s="2">
        <v>0</v>
      </c>
      <c r="K17" s="2">
        <v>0</v>
      </c>
      <c r="L17" s="2">
        <v>28.9</v>
      </c>
      <c r="M17" s="2">
        <v>47742.8</v>
      </c>
      <c r="N17" s="2" t="s">
        <v>36</v>
      </c>
      <c r="O17" s="2">
        <v>47742.8</v>
      </c>
      <c r="P17" s="2">
        <v>42648.639999999999</v>
      </c>
      <c r="Q17" s="2" t="s">
        <v>36</v>
      </c>
      <c r="R17" s="2">
        <v>350218.52</v>
      </c>
      <c r="S17" s="2">
        <v>392867.16</v>
      </c>
    </row>
    <row r="18" spans="1:19" ht="15" customHeight="1" x14ac:dyDescent="0.25">
      <c r="A18" s="1" t="s">
        <v>17</v>
      </c>
      <c r="B18" s="1"/>
      <c r="C18" s="1"/>
      <c r="D18" s="2">
        <v>36724.589999999997</v>
      </c>
      <c r="E18" s="2">
        <v>14692.59</v>
      </c>
      <c r="F18" s="2" t="s">
        <v>36</v>
      </c>
      <c r="G18" s="2" t="s">
        <v>36</v>
      </c>
      <c r="H18" s="2" t="s">
        <v>36</v>
      </c>
      <c r="I18" s="2" t="s">
        <v>36</v>
      </c>
      <c r="J18" s="2">
        <v>0</v>
      </c>
      <c r="K18" s="2">
        <v>0</v>
      </c>
      <c r="L18" s="2">
        <v>45.9</v>
      </c>
      <c r="M18" s="2">
        <v>137700</v>
      </c>
      <c r="N18" s="2">
        <v>0</v>
      </c>
      <c r="O18" s="2">
        <v>137700</v>
      </c>
      <c r="P18" s="2">
        <v>123007.41</v>
      </c>
      <c r="Q18" s="2">
        <v>51109.04</v>
      </c>
      <c r="R18" s="2" t="s">
        <v>36</v>
      </c>
      <c r="S18" s="2">
        <v>174116.45</v>
      </c>
    </row>
    <row r="19" spans="1:19" ht="15" customHeight="1" x14ac:dyDescent="0.25">
      <c r="A19" s="1" t="s">
        <v>18</v>
      </c>
      <c r="B19" s="1"/>
      <c r="C19" s="1"/>
      <c r="D19" s="2">
        <v>32324.04</v>
      </c>
      <c r="E19" s="2">
        <v>12932.04</v>
      </c>
      <c r="F19" s="2" t="s">
        <v>36</v>
      </c>
      <c r="G19" s="2" t="s">
        <v>36</v>
      </c>
      <c r="H19" s="2" t="s">
        <v>36</v>
      </c>
      <c r="I19" s="2" t="s">
        <v>36</v>
      </c>
      <c r="J19" s="2">
        <v>0</v>
      </c>
      <c r="K19" s="2">
        <v>0</v>
      </c>
      <c r="L19" s="2">
        <v>40.4</v>
      </c>
      <c r="M19" s="2">
        <v>121200</v>
      </c>
      <c r="N19" s="2" t="s">
        <v>36</v>
      </c>
      <c r="O19" s="2">
        <v>121200</v>
      </c>
      <c r="P19" s="2">
        <v>108267.96</v>
      </c>
      <c r="Q19" s="2" t="s">
        <v>36</v>
      </c>
      <c r="R19" s="2">
        <v>304346.12</v>
      </c>
      <c r="S19" s="2">
        <v>412614.08</v>
      </c>
    </row>
    <row r="20" spans="1:19" ht="15" customHeight="1" x14ac:dyDescent="0.25">
      <c r="A20" s="1" t="s">
        <v>19</v>
      </c>
      <c r="B20" s="1"/>
      <c r="C20" s="1"/>
      <c r="D20" s="2">
        <v>15376.54</v>
      </c>
      <c r="E20" s="2">
        <v>6151.77</v>
      </c>
      <c r="F20" s="2" t="s">
        <v>36</v>
      </c>
      <c r="G20" s="2" t="s">
        <v>36</v>
      </c>
      <c r="H20" s="2" t="s">
        <v>36</v>
      </c>
      <c r="I20" s="2" t="s">
        <v>36</v>
      </c>
      <c r="J20" s="2">
        <v>0</v>
      </c>
      <c r="K20" s="2">
        <v>0</v>
      </c>
      <c r="L20" s="2">
        <v>34.9</v>
      </c>
      <c r="M20" s="2">
        <v>57654.8</v>
      </c>
      <c r="N20" s="2" t="s">
        <v>36</v>
      </c>
      <c r="O20" s="2">
        <v>57654.8</v>
      </c>
      <c r="P20" s="2">
        <v>51503.03</v>
      </c>
      <c r="Q20" s="2" t="s">
        <v>36</v>
      </c>
      <c r="R20" s="2">
        <v>235191.3</v>
      </c>
      <c r="S20" s="2">
        <v>286694.33</v>
      </c>
    </row>
    <row r="21" spans="1:19" ht="15" customHeight="1" x14ac:dyDescent="0.25">
      <c r="A21" s="1" t="s">
        <v>20</v>
      </c>
      <c r="B21" s="1"/>
      <c r="C21" s="1"/>
      <c r="D21" s="2">
        <v>19385.89</v>
      </c>
      <c r="E21" s="2">
        <v>7755.81</v>
      </c>
      <c r="F21" s="2" t="s">
        <v>36</v>
      </c>
      <c r="G21" s="2" t="s">
        <v>36</v>
      </c>
      <c r="H21" s="2" t="s">
        <v>36</v>
      </c>
      <c r="I21" s="2" t="s">
        <v>36</v>
      </c>
      <c r="J21" s="2">
        <v>0</v>
      </c>
      <c r="K21" s="2">
        <v>0</v>
      </c>
      <c r="L21" s="2">
        <v>44</v>
      </c>
      <c r="M21" s="2">
        <v>72688</v>
      </c>
      <c r="N21" s="2" t="s">
        <v>36</v>
      </c>
      <c r="O21" s="2">
        <v>72688</v>
      </c>
      <c r="P21" s="2">
        <v>64932.19</v>
      </c>
      <c r="Q21" s="2" t="s">
        <v>36</v>
      </c>
      <c r="R21" s="2">
        <v>295251.28000000003</v>
      </c>
      <c r="S21" s="2">
        <v>360183.47</v>
      </c>
    </row>
    <row r="22" spans="1:19" ht="15" customHeight="1" x14ac:dyDescent="0.25">
      <c r="A22" s="1" t="s">
        <v>21</v>
      </c>
      <c r="B22" s="1"/>
      <c r="C22" s="1"/>
      <c r="D22" s="2">
        <v>27283.41</v>
      </c>
      <c r="E22" s="2">
        <v>10915.41</v>
      </c>
      <c r="F22" s="2" t="s">
        <v>36</v>
      </c>
      <c r="G22" s="2" t="s">
        <v>36</v>
      </c>
      <c r="H22" s="2" t="s">
        <v>36</v>
      </c>
      <c r="I22" s="2" t="s">
        <v>36</v>
      </c>
      <c r="J22" s="2">
        <v>0</v>
      </c>
      <c r="K22" s="2">
        <v>0</v>
      </c>
      <c r="L22" s="2">
        <v>46.5</v>
      </c>
      <c r="M22" s="2">
        <v>102300</v>
      </c>
      <c r="N22" s="2" t="s">
        <v>36</v>
      </c>
      <c r="O22" s="2">
        <v>102300</v>
      </c>
      <c r="P22" s="2">
        <v>91384.59</v>
      </c>
      <c r="Q22" s="2">
        <v>46143.03</v>
      </c>
      <c r="R22" s="2" t="s">
        <v>36</v>
      </c>
      <c r="S22" s="2">
        <v>137527.62</v>
      </c>
    </row>
    <row r="23" spans="1:19" ht="15" customHeight="1" x14ac:dyDescent="0.25">
      <c r="A23" s="1" t="s">
        <v>22</v>
      </c>
      <c r="B23" s="1"/>
      <c r="C23" s="1"/>
      <c r="D23" s="2">
        <v>32644.080000000002</v>
      </c>
      <c r="E23" s="2">
        <v>13060.08</v>
      </c>
      <c r="F23" s="2" t="s">
        <v>36</v>
      </c>
      <c r="G23" s="2" t="s">
        <v>36</v>
      </c>
      <c r="H23" s="2" t="s">
        <v>36</v>
      </c>
      <c r="I23" s="2" t="s">
        <v>36</v>
      </c>
      <c r="J23" s="2">
        <v>2</v>
      </c>
      <c r="K23" s="2">
        <v>7200</v>
      </c>
      <c r="L23" s="2">
        <v>48</v>
      </c>
      <c r="M23" s="2">
        <v>115200</v>
      </c>
      <c r="N23" s="2" t="s">
        <v>36</v>
      </c>
      <c r="O23" s="2">
        <v>122400</v>
      </c>
      <c r="P23" s="2">
        <v>109339.92</v>
      </c>
      <c r="Q23" s="2">
        <v>52539.14</v>
      </c>
      <c r="R23" s="2" t="s">
        <v>36</v>
      </c>
      <c r="S23" s="2">
        <v>161879.06</v>
      </c>
    </row>
    <row r="24" spans="1:19" ht="15" customHeight="1" x14ac:dyDescent="0.25">
      <c r="A24" s="1" t="s">
        <v>23</v>
      </c>
      <c r="B24" s="1"/>
      <c r="C24" s="1"/>
      <c r="D24" s="2">
        <v>0</v>
      </c>
      <c r="E24" s="2">
        <v>0</v>
      </c>
      <c r="F24" s="2" t="s">
        <v>36</v>
      </c>
      <c r="G24" s="2" t="s">
        <v>36</v>
      </c>
      <c r="H24" s="2" t="s">
        <v>36</v>
      </c>
      <c r="I24" s="2" t="s">
        <v>36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 t="s">
        <v>36</v>
      </c>
      <c r="S24" s="2">
        <v>0</v>
      </c>
    </row>
    <row r="25" spans="1:19" ht="15" customHeight="1" x14ac:dyDescent="0.25">
      <c r="A25" s="1" t="s">
        <v>24</v>
      </c>
      <c r="B25" s="1"/>
      <c r="C25" s="1"/>
      <c r="D25" s="2">
        <v>69128.639999999999</v>
      </c>
      <c r="E25" s="2">
        <v>27656.639999999999</v>
      </c>
      <c r="F25" s="2">
        <v>96</v>
      </c>
      <c r="G25" s="2">
        <v>259200</v>
      </c>
      <c r="H25" s="2" t="s">
        <v>36</v>
      </c>
      <c r="I25" s="2" t="s">
        <v>36</v>
      </c>
      <c r="J25" s="2">
        <v>0</v>
      </c>
      <c r="K25" s="2">
        <v>0</v>
      </c>
      <c r="L25" s="2">
        <v>0</v>
      </c>
      <c r="M25" s="2">
        <v>0</v>
      </c>
      <c r="N25" s="2" t="s">
        <v>36</v>
      </c>
      <c r="O25" s="2">
        <v>259200</v>
      </c>
      <c r="P25" s="2">
        <v>231543.36</v>
      </c>
      <c r="Q25" s="2">
        <v>0</v>
      </c>
      <c r="R25" s="2" t="s">
        <v>36</v>
      </c>
      <c r="S25" s="2">
        <v>231543.36</v>
      </c>
    </row>
    <row r="26" spans="1:19" ht="15" customHeight="1" x14ac:dyDescent="0.25">
      <c r="A26" s="1" t="s">
        <v>25</v>
      </c>
      <c r="B26" s="1"/>
      <c r="C26" s="1"/>
      <c r="D26" s="2">
        <v>25679.21</v>
      </c>
      <c r="E26" s="2">
        <v>10273.61</v>
      </c>
      <c r="F26" s="2" t="s">
        <v>36</v>
      </c>
      <c r="G26" s="2" t="s">
        <v>36</v>
      </c>
      <c r="H26" s="2" t="s">
        <v>36</v>
      </c>
      <c r="I26" s="2" t="s">
        <v>36</v>
      </c>
      <c r="J26" s="2">
        <v>0</v>
      </c>
      <c r="K26" s="2">
        <v>0</v>
      </c>
      <c r="L26" s="2">
        <v>45.85</v>
      </c>
      <c r="M26" s="2">
        <v>96285</v>
      </c>
      <c r="N26" s="2" t="s">
        <v>36</v>
      </c>
      <c r="O26" s="2">
        <v>96285</v>
      </c>
      <c r="P26" s="2">
        <v>86011.39</v>
      </c>
      <c r="Q26" s="2">
        <v>48200.95</v>
      </c>
      <c r="R26" s="2" t="s">
        <v>36</v>
      </c>
      <c r="S26" s="2">
        <v>134212.34</v>
      </c>
    </row>
    <row r="27" spans="1:19" ht="15" customHeight="1" x14ac:dyDescent="0.25">
      <c r="A27" s="1" t="s">
        <v>26</v>
      </c>
      <c r="B27" s="1"/>
      <c r="C27" s="1"/>
      <c r="D27" s="2">
        <v>49406.18</v>
      </c>
      <c r="E27" s="2">
        <v>19766.18</v>
      </c>
      <c r="F27" s="2" t="s">
        <v>36</v>
      </c>
      <c r="G27" s="2" t="s">
        <v>36</v>
      </c>
      <c r="H27" s="2" t="s">
        <v>36</v>
      </c>
      <c r="I27" s="2" t="s">
        <v>36</v>
      </c>
      <c r="J27" s="2">
        <v>6</v>
      </c>
      <c r="K27" s="2">
        <v>29250</v>
      </c>
      <c r="L27" s="2">
        <v>48</v>
      </c>
      <c r="M27" s="2">
        <v>156000</v>
      </c>
      <c r="N27" s="2" t="s">
        <v>36</v>
      </c>
      <c r="O27" s="2">
        <v>185250</v>
      </c>
      <c r="P27" s="2">
        <v>165483.82</v>
      </c>
      <c r="Q27" s="2">
        <v>58128.01</v>
      </c>
      <c r="R27" s="2" t="s">
        <v>36</v>
      </c>
      <c r="S27" s="2">
        <v>223611.83</v>
      </c>
    </row>
    <row r="28" spans="1:19" ht="15" customHeight="1" x14ac:dyDescent="0.25">
      <c r="A28" s="1" t="s">
        <v>27</v>
      </c>
      <c r="B28" s="1"/>
      <c r="C28" s="1"/>
      <c r="D28" s="2">
        <v>13305.77</v>
      </c>
      <c r="E28" s="2">
        <v>5323.31</v>
      </c>
      <c r="F28" s="2" t="s">
        <v>36</v>
      </c>
      <c r="G28" s="2" t="s">
        <v>36</v>
      </c>
      <c r="H28" s="2" t="s">
        <v>36</v>
      </c>
      <c r="I28" s="2" t="s">
        <v>36</v>
      </c>
      <c r="J28" s="2">
        <v>0</v>
      </c>
      <c r="K28" s="2">
        <v>0</v>
      </c>
      <c r="L28" s="2">
        <v>30.2</v>
      </c>
      <c r="M28" s="2">
        <v>49890.400000000001</v>
      </c>
      <c r="N28" s="2" t="s">
        <v>36</v>
      </c>
      <c r="O28" s="2">
        <v>49890.400000000001</v>
      </c>
      <c r="P28" s="2">
        <v>44567.09</v>
      </c>
      <c r="Q28" s="2" t="s">
        <v>36</v>
      </c>
      <c r="R28" s="2">
        <v>230689.07</v>
      </c>
      <c r="S28" s="2">
        <v>275256.15999999997</v>
      </c>
    </row>
    <row r="29" spans="1:19" ht="15" customHeight="1" x14ac:dyDescent="0.25">
      <c r="A29" s="1" t="s">
        <v>28</v>
      </c>
      <c r="B29" s="1"/>
      <c r="C29" s="1"/>
      <c r="D29" s="2">
        <v>22776.18</v>
      </c>
      <c r="E29" s="2">
        <v>9112.18</v>
      </c>
      <c r="F29" s="2" t="s">
        <v>36</v>
      </c>
      <c r="G29" s="2" t="s">
        <v>36</v>
      </c>
      <c r="H29" s="2" t="s">
        <v>36</v>
      </c>
      <c r="I29" s="2" t="s">
        <v>36</v>
      </c>
      <c r="J29" s="2">
        <v>0</v>
      </c>
      <c r="K29" s="2">
        <v>0</v>
      </c>
      <c r="L29" s="2">
        <v>42.7</v>
      </c>
      <c r="M29" s="2">
        <v>85400</v>
      </c>
      <c r="N29" s="2" t="s">
        <v>36</v>
      </c>
      <c r="O29" s="2">
        <v>85400</v>
      </c>
      <c r="P29" s="2">
        <v>76287.820000000007</v>
      </c>
      <c r="Q29" s="2" t="s">
        <v>36</v>
      </c>
      <c r="R29" s="2">
        <v>372112.64000000001</v>
      </c>
      <c r="S29" s="2">
        <v>448400.46</v>
      </c>
    </row>
    <row r="30" spans="1:19" ht="15" customHeight="1" x14ac:dyDescent="0.25">
      <c r="A30" s="1" t="s">
        <v>29</v>
      </c>
      <c r="B30" s="1"/>
      <c r="C30" s="1"/>
      <c r="D30" s="2">
        <v>24003</v>
      </c>
      <c r="E30" s="2">
        <v>9603</v>
      </c>
      <c r="F30" s="2" t="s">
        <v>36</v>
      </c>
      <c r="G30" s="2" t="s">
        <v>36</v>
      </c>
      <c r="H30" s="2" t="s">
        <v>36</v>
      </c>
      <c r="I30" s="2" t="s">
        <v>36</v>
      </c>
      <c r="J30" s="2">
        <v>0</v>
      </c>
      <c r="K30" s="2">
        <v>0</v>
      </c>
      <c r="L30" s="2">
        <v>45</v>
      </c>
      <c r="M30" s="2">
        <v>90000</v>
      </c>
      <c r="N30" s="2" t="s">
        <v>36</v>
      </c>
      <c r="O30" s="2">
        <v>90000</v>
      </c>
      <c r="P30" s="2">
        <v>80397</v>
      </c>
      <c r="Q30" s="2">
        <v>58128.01</v>
      </c>
      <c r="R30" s="2" t="s">
        <v>36</v>
      </c>
      <c r="S30" s="2">
        <v>138525.01</v>
      </c>
    </row>
    <row r="31" spans="1:19" ht="15" customHeight="1" x14ac:dyDescent="0.25">
      <c r="A31" s="1" t="s">
        <v>30</v>
      </c>
      <c r="B31" s="1"/>
      <c r="C31" s="1"/>
      <c r="D31" s="2">
        <v>16125.54</v>
      </c>
      <c r="E31" s="2">
        <v>6451.42</v>
      </c>
      <c r="F31" s="2" t="s">
        <v>36</v>
      </c>
      <c r="G31" s="2" t="s">
        <v>36</v>
      </c>
      <c r="H31" s="2" t="s">
        <v>36</v>
      </c>
      <c r="I31" s="2" t="s">
        <v>36</v>
      </c>
      <c r="J31" s="2">
        <v>0</v>
      </c>
      <c r="K31" s="2">
        <v>0</v>
      </c>
      <c r="L31" s="2">
        <v>36.6</v>
      </c>
      <c r="M31" s="2">
        <v>60463.199999999997</v>
      </c>
      <c r="N31" s="2" t="s">
        <v>36</v>
      </c>
      <c r="O31" s="2">
        <v>60463.199999999997</v>
      </c>
      <c r="P31" s="2">
        <v>54011.78</v>
      </c>
      <c r="Q31" s="2" t="s">
        <v>36</v>
      </c>
      <c r="R31" s="2">
        <v>375948.67</v>
      </c>
      <c r="S31" s="2">
        <v>429960.45</v>
      </c>
    </row>
    <row r="32" spans="1:19" ht="15" customHeight="1" x14ac:dyDescent="0.25">
      <c r="A32" s="1" t="s">
        <v>31</v>
      </c>
      <c r="B32" s="1"/>
      <c r="C32" s="1"/>
      <c r="D32" s="2">
        <v>803485.13</v>
      </c>
      <c r="E32" s="2">
        <v>321454.31</v>
      </c>
      <c r="F32" s="2">
        <v>192</v>
      </c>
      <c r="G32" s="2">
        <v>528000</v>
      </c>
      <c r="H32" s="2">
        <v>34.6</v>
      </c>
      <c r="I32" s="2">
        <v>76120</v>
      </c>
      <c r="J32" s="2">
        <v>12.5</v>
      </c>
      <c r="K32" s="2">
        <v>51600</v>
      </c>
      <c r="L32" s="2">
        <v>1064.1500000000001</v>
      </c>
      <c r="M32" s="2">
        <v>2356972.6</v>
      </c>
      <c r="N32" s="2">
        <v>70000</v>
      </c>
      <c r="O32" s="2">
        <v>3012692.6</v>
      </c>
      <c r="P32" s="2">
        <v>2621238.29</v>
      </c>
      <c r="Q32" s="2">
        <v>638718.98</v>
      </c>
      <c r="R32" s="2">
        <v>3572200.55</v>
      </c>
      <c r="S32" s="2">
        <v>6832157.8200000003</v>
      </c>
    </row>
  </sheetData>
  <mergeCells count="36">
    <mergeCell ref="A1:C1"/>
    <mergeCell ref="F1:G1"/>
    <mergeCell ref="H1:I1"/>
    <mergeCell ref="J1:K1"/>
    <mergeCell ref="L1:M1"/>
    <mergeCell ref="A32:C32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2657-4C91-4858-912D-200231B1ACA8}">
  <dimension ref="A1:O14"/>
  <sheetViews>
    <sheetView workbookViewId="0">
      <selection activeCell="G9" sqref="G9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15" width="14.28515625" customWidth="1"/>
  </cols>
  <sheetData>
    <row r="1" spans="1:15" s="10" customFormat="1" ht="45" x14ac:dyDescent="0.25">
      <c r="A1" s="7" t="s">
        <v>47</v>
      </c>
      <c r="B1" s="8"/>
      <c r="C1" s="9"/>
      <c r="D1" s="3"/>
      <c r="E1" s="3"/>
      <c r="F1" s="4" t="s">
        <v>38</v>
      </c>
      <c r="G1" s="4"/>
      <c r="H1" s="4" t="s">
        <v>39</v>
      </c>
      <c r="I1" s="4"/>
      <c r="J1" s="3" t="s">
        <v>41</v>
      </c>
      <c r="K1" s="3" t="s">
        <v>42</v>
      </c>
      <c r="L1" s="3" t="s">
        <v>43</v>
      </c>
      <c r="M1" s="3" t="s">
        <v>44</v>
      </c>
      <c r="N1" s="3" t="s">
        <v>45</v>
      </c>
      <c r="O1" s="3" t="s">
        <v>40</v>
      </c>
    </row>
    <row r="2" spans="1:15" s="10" customFormat="1" ht="30" x14ac:dyDescent="0.25">
      <c r="A2" s="5" t="s">
        <v>1</v>
      </c>
      <c r="B2" s="5"/>
      <c r="C2" s="5"/>
      <c r="D2" s="6" t="s">
        <v>33</v>
      </c>
      <c r="E2" s="3" t="s">
        <v>34</v>
      </c>
      <c r="F2" s="6" t="s">
        <v>0</v>
      </c>
      <c r="G2" s="6" t="s">
        <v>32</v>
      </c>
      <c r="H2" s="6" t="s">
        <v>0</v>
      </c>
      <c r="I2" s="6" t="s">
        <v>32</v>
      </c>
      <c r="J2" s="6" t="s">
        <v>32</v>
      </c>
      <c r="K2" s="6" t="s">
        <v>32</v>
      </c>
      <c r="L2" s="6" t="s">
        <v>32</v>
      </c>
      <c r="M2" s="6" t="s">
        <v>32</v>
      </c>
      <c r="N2" s="6" t="s">
        <v>32</v>
      </c>
      <c r="O2" s="6" t="s">
        <v>32</v>
      </c>
    </row>
    <row r="3" spans="1:15" ht="15" customHeight="1" x14ac:dyDescent="0.25">
      <c r="A3" s="1" t="s">
        <v>48</v>
      </c>
      <c r="B3" s="1"/>
      <c r="C3" s="1"/>
      <c r="D3" s="2">
        <v>18240.36</v>
      </c>
      <c r="E3" s="2">
        <v>7297.51</v>
      </c>
      <c r="F3" s="2">
        <v>0</v>
      </c>
      <c r="G3" s="2">
        <v>0</v>
      </c>
      <c r="H3" s="2">
        <v>41.4</v>
      </c>
      <c r="I3" s="2">
        <v>68392.800000000003</v>
      </c>
      <c r="J3" s="2" t="s">
        <v>36</v>
      </c>
      <c r="K3" s="2">
        <v>68392.800000000003</v>
      </c>
      <c r="L3" s="2">
        <v>61095.29</v>
      </c>
      <c r="M3" s="2" t="s">
        <v>36</v>
      </c>
      <c r="N3" s="2">
        <v>225485.42</v>
      </c>
      <c r="O3" s="2">
        <v>286580.71000000002</v>
      </c>
    </row>
    <row r="4" spans="1:15" ht="15" customHeight="1" x14ac:dyDescent="0.25">
      <c r="A4" s="1" t="s">
        <v>49</v>
      </c>
      <c r="B4" s="1"/>
      <c r="C4" s="1"/>
      <c r="D4" s="2">
        <v>45365.67</v>
      </c>
      <c r="E4" s="2">
        <v>18149.669999999998</v>
      </c>
      <c r="F4" s="2">
        <v>8.5</v>
      </c>
      <c r="G4" s="2">
        <v>35700</v>
      </c>
      <c r="H4" s="2">
        <v>48</v>
      </c>
      <c r="I4" s="2">
        <v>134400</v>
      </c>
      <c r="J4" s="2">
        <v>30000</v>
      </c>
      <c r="K4" s="2">
        <v>170100</v>
      </c>
      <c r="L4" s="2">
        <v>121950.33</v>
      </c>
      <c r="M4" s="2">
        <v>71721.7</v>
      </c>
      <c r="N4" s="2" t="s">
        <v>36</v>
      </c>
      <c r="O4" s="2">
        <v>193672.03</v>
      </c>
    </row>
    <row r="5" spans="1:15" ht="15" customHeight="1" x14ac:dyDescent="0.25">
      <c r="A5" s="1" t="s">
        <v>50</v>
      </c>
      <c r="B5" s="1"/>
      <c r="C5" s="1"/>
      <c r="D5" s="2">
        <v>18882.36</v>
      </c>
      <c r="E5" s="2">
        <v>7554.36</v>
      </c>
      <c r="F5" s="2">
        <v>0</v>
      </c>
      <c r="G5" s="2">
        <v>0</v>
      </c>
      <c r="H5" s="2">
        <v>35.4</v>
      </c>
      <c r="I5" s="2">
        <v>70800</v>
      </c>
      <c r="J5" s="2" t="s">
        <v>36</v>
      </c>
      <c r="K5" s="2">
        <v>70800</v>
      </c>
      <c r="L5" s="2">
        <v>63245.64</v>
      </c>
      <c r="M5" s="2" t="s">
        <v>36</v>
      </c>
      <c r="N5" s="2">
        <v>316526.88</v>
      </c>
      <c r="O5" s="2">
        <v>379772.52</v>
      </c>
    </row>
    <row r="6" spans="1:15" ht="15" customHeight="1" x14ac:dyDescent="0.25">
      <c r="A6" s="1" t="s">
        <v>51</v>
      </c>
      <c r="B6" s="1"/>
      <c r="C6" s="1"/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36</v>
      </c>
      <c r="K6" s="2">
        <v>0</v>
      </c>
      <c r="L6" s="2">
        <v>0</v>
      </c>
      <c r="M6" s="2" t="s">
        <v>36</v>
      </c>
      <c r="N6" s="2">
        <v>224433.7</v>
      </c>
      <c r="O6" s="2">
        <v>224433.7</v>
      </c>
    </row>
    <row r="7" spans="1:15" ht="15" customHeight="1" x14ac:dyDescent="0.25">
      <c r="A7" s="1" t="s">
        <v>52</v>
      </c>
      <c r="B7" s="1"/>
      <c r="C7" s="1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36</v>
      </c>
      <c r="K7" s="2">
        <v>0</v>
      </c>
      <c r="L7" s="2">
        <v>0</v>
      </c>
      <c r="M7" s="2" t="s">
        <v>36</v>
      </c>
      <c r="N7" s="2">
        <v>283052.59999999998</v>
      </c>
      <c r="O7" s="2">
        <v>283052.59999999998</v>
      </c>
    </row>
    <row r="8" spans="1:15" ht="15" customHeight="1" x14ac:dyDescent="0.25">
      <c r="A8" s="1" t="s">
        <v>53</v>
      </c>
      <c r="B8" s="1"/>
      <c r="C8" s="1"/>
      <c r="D8" s="2">
        <v>41557.19</v>
      </c>
      <c r="E8" s="2">
        <v>16625.990000000002</v>
      </c>
      <c r="F8" s="2">
        <v>5.0999999999999996</v>
      </c>
      <c r="G8" s="2">
        <v>21420</v>
      </c>
      <c r="H8" s="2">
        <v>48</v>
      </c>
      <c r="I8" s="2">
        <v>134400</v>
      </c>
      <c r="J8" s="2" t="s">
        <v>36</v>
      </c>
      <c r="K8" s="2">
        <v>155820</v>
      </c>
      <c r="L8" s="2">
        <v>139194.01</v>
      </c>
      <c r="M8" s="2">
        <v>66634.850000000006</v>
      </c>
      <c r="N8" s="2" t="s">
        <v>36</v>
      </c>
      <c r="O8" s="2">
        <v>205828.86</v>
      </c>
    </row>
    <row r="9" spans="1:15" ht="15" customHeight="1" x14ac:dyDescent="0.25">
      <c r="A9" s="1" t="s">
        <v>54</v>
      </c>
      <c r="B9" s="1"/>
      <c r="C9" s="1"/>
      <c r="D9" s="2">
        <v>36804.6</v>
      </c>
      <c r="E9" s="2">
        <v>14724.6</v>
      </c>
      <c r="F9" s="2">
        <v>14</v>
      </c>
      <c r="G9" s="2">
        <v>42000</v>
      </c>
      <c r="H9" s="2">
        <v>48</v>
      </c>
      <c r="I9" s="2">
        <v>96000</v>
      </c>
      <c r="J9" s="2" t="s">
        <v>36</v>
      </c>
      <c r="K9" s="2">
        <v>138000</v>
      </c>
      <c r="L9" s="2">
        <v>123275.4</v>
      </c>
      <c r="M9" s="2">
        <v>74751.350000000006</v>
      </c>
      <c r="N9" s="2" t="s">
        <v>36</v>
      </c>
      <c r="O9" s="2">
        <v>198026.75</v>
      </c>
    </row>
    <row r="10" spans="1:15" ht="15" customHeight="1" x14ac:dyDescent="0.25">
      <c r="A10" s="1" t="s">
        <v>55</v>
      </c>
      <c r="B10" s="1"/>
      <c r="C10" s="1"/>
      <c r="D10" s="2">
        <v>17425.27</v>
      </c>
      <c r="E10" s="2">
        <v>6971.42</v>
      </c>
      <c r="F10" s="2">
        <v>0</v>
      </c>
      <c r="G10" s="2">
        <v>0</v>
      </c>
      <c r="H10" s="2">
        <v>39.549999999999997</v>
      </c>
      <c r="I10" s="2">
        <v>65336.6</v>
      </c>
      <c r="J10" s="2" t="s">
        <v>36</v>
      </c>
      <c r="K10" s="2">
        <v>65336.6</v>
      </c>
      <c r="L10" s="2">
        <v>58365.18</v>
      </c>
      <c r="M10" s="2" t="s">
        <v>36</v>
      </c>
      <c r="N10" s="2">
        <v>269982.78000000003</v>
      </c>
      <c r="O10" s="2">
        <v>328347.96000000002</v>
      </c>
    </row>
    <row r="11" spans="1:15" ht="15" customHeight="1" x14ac:dyDescent="0.25">
      <c r="A11" s="1" t="s">
        <v>56</v>
      </c>
      <c r="B11" s="1"/>
      <c r="C11" s="1"/>
      <c r="D11" s="2">
        <v>18284.419999999998</v>
      </c>
      <c r="E11" s="2">
        <v>7315.14</v>
      </c>
      <c r="F11" s="2">
        <v>0</v>
      </c>
      <c r="G11" s="2">
        <v>0</v>
      </c>
      <c r="H11" s="2">
        <v>41.5</v>
      </c>
      <c r="I11" s="2">
        <v>68558</v>
      </c>
      <c r="J11" s="2" t="s">
        <v>36</v>
      </c>
      <c r="K11" s="2">
        <v>68558</v>
      </c>
      <c r="L11" s="2">
        <v>61242.86</v>
      </c>
      <c r="M11" s="2" t="s">
        <v>36</v>
      </c>
      <c r="N11" s="2">
        <v>295792.82</v>
      </c>
      <c r="O11" s="2">
        <v>357035.68</v>
      </c>
    </row>
    <row r="12" spans="1:15" ht="15" customHeight="1" x14ac:dyDescent="0.25">
      <c r="A12" s="1" t="s">
        <v>57</v>
      </c>
      <c r="B12" s="1"/>
      <c r="C12" s="1"/>
      <c r="D12" s="2">
        <v>11675.59</v>
      </c>
      <c r="E12" s="2">
        <v>4671.1099999999997</v>
      </c>
      <c r="F12" s="2">
        <v>0</v>
      </c>
      <c r="G12" s="2">
        <v>0</v>
      </c>
      <c r="H12" s="2">
        <v>26.5</v>
      </c>
      <c r="I12" s="2">
        <v>43778</v>
      </c>
      <c r="J12" s="2" t="s">
        <v>36</v>
      </c>
      <c r="K12" s="2">
        <v>43778</v>
      </c>
      <c r="L12" s="2">
        <v>39106.89</v>
      </c>
      <c r="M12" s="2" t="s">
        <v>36</v>
      </c>
      <c r="N12" s="2">
        <v>138778.94</v>
      </c>
      <c r="O12" s="2">
        <v>177885.83</v>
      </c>
    </row>
    <row r="13" spans="1:15" ht="15" customHeight="1" x14ac:dyDescent="0.25">
      <c r="A13" s="1" t="s">
        <v>58</v>
      </c>
      <c r="B13" s="1"/>
      <c r="C13" s="1"/>
      <c r="D13" s="2">
        <v>56107.01</v>
      </c>
      <c r="E13" s="2">
        <v>22447.01</v>
      </c>
      <c r="F13" s="2">
        <v>10.5</v>
      </c>
      <c r="G13" s="2">
        <v>51975</v>
      </c>
      <c r="H13" s="2">
        <v>48</v>
      </c>
      <c r="I13" s="2">
        <v>158400</v>
      </c>
      <c r="J13" s="2" t="s">
        <v>36</v>
      </c>
      <c r="K13" s="2">
        <v>210375</v>
      </c>
      <c r="L13" s="2">
        <v>187927.99</v>
      </c>
      <c r="M13" s="2">
        <v>73812.95</v>
      </c>
      <c r="N13" s="2" t="s">
        <v>36</v>
      </c>
      <c r="O13" s="2">
        <v>261740.94</v>
      </c>
    </row>
    <row r="14" spans="1:15" s="10" customFormat="1" ht="15" customHeight="1" x14ac:dyDescent="0.25">
      <c r="A14" s="4" t="s">
        <v>31</v>
      </c>
      <c r="B14" s="4"/>
      <c r="C14" s="4"/>
      <c r="D14" s="11">
        <v>264342.46999999997</v>
      </c>
      <c r="E14" s="11">
        <v>105756.81</v>
      </c>
      <c r="F14" s="11">
        <v>38.1</v>
      </c>
      <c r="G14" s="11">
        <v>151095</v>
      </c>
      <c r="H14" s="11">
        <v>376.35</v>
      </c>
      <c r="I14" s="11">
        <v>840065.4</v>
      </c>
      <c r="J14" s="11">
        <v>30000</v>
      </c>
      <c r="K14" s="11">
        <v>991160.4</v>
      </c>
      <c r="L14" s="11">
        <v>855403.59</v>
      </c>
      <c r="M14" s="11">
        <v>286920.84999999998</v>
      </c>
      <c r="N14" s="11">
        <v>1754053.14</v>
      </c>
      <c r="O14" s="11">
        <v>2896377.58</v>
      </c>
    </row>
  </sheetData>
  <mergeCells count="16">
    <mergeCell ref="A11:C11"/>
    <mergeCell ref="A12:C12"/>
    <mergeCell ref="A13:C13"/>
    <mergeCell ref="A14:C14"/>
    <mergeCell ref="A5:C5"/>
    <mergeCell ref="A6:C6"/>
    <mergeCell ref="A7:C7"/>
    <mergeCell ref="A8:C8"/>
    <mergeCell ref="A9:C9"/>
    <mergeCell ref="A10:C10"/>
    <mergeCell ref="A1:C1"/>
    <mergeCell ref="F1:G1"/>
    <mergeCell ref="H1:I1"/>
    <mergeCell ref="A2:C2"/>
    <mergeCell ref="A3:C3"/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49169-0E69-41BA-8909-9CD198A90657}">
  <dimension ref="A1:N12"/>
  <sheetViews>
    <sheetView workbookViewId="0">
      <selection sqref="A1:XFD104857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14" width="14.28515625" customWidth="1"/>
  </cols>
  <sheetData>
    <row r="1" spans="1:14" s="10" customFormat="1" ht="45" x14ac:dyDescent="0.25">
      <c r="A1" s="7" t="s">
        <v>59</v>
      </c>
      <c r="B1" s="8"/>
      <c r="C1" s="9"/>
      <c r="D1" s="3"/>
      <c r="E1" s="3"/>
      <c r="F1" s="4" t="s">
        <v>38</v>
      </c>
      <c r="G1" s="4"/>
      <c r="H1" s="4" t="s">
        <v>39</v>
      </c>
      <c r="I1" s="4"/>
      <c r="J1" s="3" t="s">
        <v>41</v>
      </c>
      <c r="K1" s="3" t="s">
        <v>42</v>
      </c>
      <c r="L1" s="3" t="s">
        <v>43</v>
      </c>
      <c r="M1" s="3" t="s">
        <v>45</v>
      </c>
      <c r="N1" s="3" t="s">
        <v>40</v>
      </c>
    </row>
    <row r="2" spans="1:14" s="10" customFormat="1" ht="30" x14ac:dyDescent="0.25">
      <c r="A2" s="5" t="s">
        <v>1</v>
      </c>
      <c r="B2" s="5"/>
      <c r="C2" s="5"/>
      <c r="D2" s="6" t="s">
        <v>33</v>
      </c>
      <c r="E2" s="3" t="s">
        <v>34</v>
      </c>
      <c r="F2" s="6" t="s">
        <v>0</v>
      </c>
      <c r="G2" s="6" t="s">
        <v>32</v>
      </c>
      <c r="H2" s="6" t="s">
        <v>0</v>
      </c>
      <c r="I2" s="6" t="s">
        <v>32</v>
      </c>
      <c r="J2" s="6" t="s">
        <v>32</v>
      </c>
      <c r="K2" s="6" t="s">
        <v>32</v>
      </c>
      <c r="L2" s="6" t="s">
        <v>32</v>
      </c>
      <c r="M2" s="6" t="s">
        <v>32</v>
      </c>
      <c r="N2" s="6" t="s">
        <v>32</v>
      </c>
    </row>
    <row r="3" spans="1:14" ht="15" customHeight="1" x14ac:dyDescent="0.25">
      <c r="A3" s="1" t="s">
        <v>60</v>
      </c>
      <c r="B3" s="1"/>
      <c r="C3" s="1"/>
      <c r="D3" s="2">
        <v>35844.480000000003</v>
      </c>
      <c r="E3" s="2">
        <v>14340.48</v>
      </c>
      <c r="F3" s="2">
        <v>0</v>
      </c>
      <c r="G3" s="2">
        <v>0</v>
      </c>
      <c r="H3" s="2">
        <v>48</v>
      </c>
      <c r="I3" s="2">
        <v>134400</v>
      </c>
      <c r="J3" s="2" t="s">
        <v>36</v>
      </c>
      <c r="K3" s="2">
        <v>134400</v>
      </c>
      <c r="L3" s="2">
        <v>120059.52</v>
      </c>
      <c r="M3" s="2">
        <v>19072.939999999999</v>
      </c>
      <c r="N3" s="2">
        <v>139132.46</v>
      </c>
    </row>
    <row r="4" spans="1:14" ht="15" customHeight="1" x14ac:dyDescent="0.25">
      <c r="A4" s="1" t="s">
        <v>61</v>
      </c>
      <c r="B4" s="1"/>
      <c r="C4" s="1"/>
      <c r="D4" s="2">
        <v>30723.84</v>
      </c>
      <c r="E4" s="2">
        <v>12291.84</v>
      </c>
      <c r="F4" s="2">
        <v>0</v>
      </c>
      <c r="G4" s="2">
        <v>0</v>
      </c>
      <c r="H4" s="2">
        <v>48</v>
      </c>
      <c r="I4" s="2">
        <v>115200</v>
      </c>
      <c r="J4" s="2" t="s">
        <v>36</v>
      </c>
      <c r="K4" s="2">
        <v>115200</v>
      </c>
      <c r="L4" s="2">
        <v>102908.16</v>
      </c>
      <c r="M4" s="2">
        <v>19072.939999999999</v>
      </c>
      <c r="N4" s="2">
        <v>121981.1</v>
      </c>
    </row>
    <row r="5" spans="1:14" ht="15" customHeight="1" x14ac:dyDescent="0.25">
      <c r="A5" s="1" t="s">
        <v>62</v>
      </c>
      <c r="B5" s="1"/>
      <c r="C5" s="1"/>
      <c r="D5" s="2">
        <v>46205.78</v>
      </c>
      <c r="E5" s="2">
        <v>18485.78</v>
      </c>
      <c r="F5" s="2">
        <v>6.5</v>
      </c>
      <c r="G5" s="2">
        <v>29250</v>
      </c>
      <c r="H5" s="2">
        <v>48</v>
      </c>
      <c r="I5" s="2">
        <v>144000</v>
      </c>
      <c r="J5" s="2">
        <v>10000</v>
      </c>
      <c r="K5" s="2">
        <v>173250</v>
      </c>
      <c r="L5" s="2">
        <v>144764.22</v>
      </c>
      <c r="M5" s="2">
        <v>19072.939999999999</v>
      </c>
      <c r="N5" s="2">
        <v>163837.16</v>
      </c>
    </row>
    <row r="6" spans="1:14" ht="15" customHeight="1" x14ac:dyDescent="0.25">
      <c r="A6" s="1" t="s">
        <v>63</v>
      </c>
      <c r="B6" s="1"/>
      <c r="C6" s="1"/>
      <c r="D6" s="2">
        <v>43205.4</v>
      </c>
      <c r="E6" s="2">
        <v>17285.400000000001</v>
      </c>
      <c r="F6" s="2">
        <v>4</v>
      </c>
      <c r="G6" s="2">
        <v>18000</v>
      </c>
      <c r="H6" s="2">
        <v>48</v>
      </c>
      <c r="I6" s="2">
        <v>144000</v>
      </c>
      <c r="J6" s="2" t="s">
        <v>36</v>
      </c>
      <c r="K6" s="2">
        <v>162000</v>
      </c>
      <c r="L6" s="2">
        <v>144714.6</v>
      </c>
      <c r="M6" s="2" t="s">
        <v>36</v>
      </c>
      <c r="N6" s="2">
        <v>144714.6</v>
      </c>
    </row>
    <row r="7" spans="1:14" ht="15" customHeight="1" x14ac:dyDescent="0.25">
      <c r="A7" s="1" t="s">
        <v>64</v>
      </c>
      <c r="B7" s="1"/>
      <c r="C7" s="1"/>
      <c r="D7" s="2">
        <v>32004</v>
      </c>
      <c r="E7" s="2">
        <v>12804</v>
      </c>
      <c r="F7" s="2">
        <v>0</v>
      </c>
      <c r="G7" s="2">
        <v>0</v>
      </c>
      <c r="H7" s="2">
        <v>48</v>
      </c>
      <c r="I7" s="2">
        <v>120000</v>
      </c>
      <c r="J7" s="2" t="s">
        <v>36</v>
      </c>
      <c r="K7" s="2">
        <v>120000</v>
      </c>
      <c r="L7" s="2">
        <v>107196</v>
      </c>
      <c r="M7" s="2">
        <v>19072.939999999999</v>
      </c>
      <c r="N7" s="2">
        <v>126268.94</v>
      </c>
    </row>
    <row r="8" spans="1:14" ht="15" customHeight="1" x14ac:dyDescent="0.25">
      <c r="A8" s="1" t="s">
        <v>65</v>
      </c>
      <c r="B8" s="1"/>
      <c r="C8" s="1"/>
      <c r="D8" s="2">
        <v>26806.02</v>
      </c>
      <c r="E8" s="2">
        <v>10724.42</v>
      </c>
      <c r="F8" s="2">
        <v>0</v>
      </c>
      <c r="G8" s="2">
        <v>0</v>
      </c>
      <c r="H8" s="2">
        <v>43.7</v>
      </c>
      <c r="I8" s="2">
        <v>100510</v>
      </c>
      <c r="J8" s="2" t="s">
        <v>36</v>
      </c>
      <c r="K8" s="2">
        <v>100510</v>
      </c>
      <c r="L8" s="2">
        <v>89785.58</v>
      </c>
      <c r="M8" s="2">
        <v>19072.740000000002</v>
      </c>
      <c r="N8" s="2">
        <v>108858.32</v>
      </c>
    </row>
    <row r="9" spans="1:14" ht="15" customHeight="1" x14ac:dyDescent="0.25">
      <c r="A9" s="1" t="s">
        <v>66</v>
      </c>
      <c r="B9" s="1"/>
      <c r="C9" s="1"/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 t="s">
        <v>36</v>
      </c>
      <c r="K9" s="2">
        <v>0</v>
      </c>
      <c r="L9" s="2">
        <v>0</v>
      </c>
      <c r="M9" s="2">
        <v>39852.21</v>
      </c>
      <c r="N9" s="2">
        <v>39852.21</v>
      </c>
    </row>
    <row r="10" spans="1:14" ht="15" customHeight="1" x14ac:dyDescent="0.25">
      <c r="A10" s="1" t="s">
        <v>67</v>
      </c>
      <c r="B10" s="1"/>
      <c r="C10" s="1"/>
      <c r="D10" s="2">
        <v>34504.31</v>
      </c>
      <c r="E10" s="2">
        <v>13804.31</v>
      </c>
      <c r="F10" s="2">
        <v>2.5</v>
      </c>
      <c r="G10" s="2">
        <v>9375</v>
      </c>
      <c r="H10" s="2">
        <v>48</v>
      </c>
      <c r="I10" s="2">
        <v>120000</v>
      </c>
      <c r="J10" s="2" t="s">
        <v>36</v>
      </c>
      <c r="K10" s="2">
        <v>129375</v>
      </c>
      <c r="L10" s="2">
        <v>115570.69</v>
      </c>
      <c r="M10" s="2">
        <v>19072.939999999999</v>
      </c>
      <c r="N10" s="2">
        <v>134643.63</v>
      </c>
    </row>
    <row r="11" spans="1:14" ht="15" customHeight="1" x14ac:dyDescent="0.25">
      <c r="A11" s="1" t="s">
        <v>68</v>
      </c>
      <c r="B11" s="1"/>
      <c r="C11" s="1"/>
      <c r="D11" s="2">
        <v>25603.200000000001</v>
      </c>
      <c r="E11" s="2">
        <v>10243.200000000001</v>
      </c>
      <c r="F11" s="2">
        <v>0</v>
      </c>
      <c r="G11" s="2">
        <v>0</v>
      </c>
      <c r="H11" s="2">
        <v>48</v>
      </c>
      <c r="I11" s="2">
        <v>96000</v>
      </c>
      <c r="J11" s="2" t="s">
        <v>36</v>
      </c>
      <c r="K11" s="2">
        <v>96000</v>
      </c>
      <c r="L11" s="2">
        <v>85756.800000000003</v>
      </c>
      <c r="M11" s="2">
        <v>19072.939999999999</v>
      </c>
      <c r="N11" s="2">
        <v>104829.74</v>
      </c>
    </row>
    <row r="12" spans="1:14" s="10" customFormat="1" ht="15" customHeight="1" x14ac:dyDescent="0.25">
      <c r="A12" s="4" t="s">
        <v>31</v>
      </c>
      <c r="B12" s="4"/>
      <c r="C12" s="4"/>
      <c r="D12" s="11">
        <v>274897.03000000003</v>
      </c>
      <c r="E12" s="11">
        <v>109979.43</v>
      </c>
      <c r="F12" s="11">
        <v>13</v>
      </c>
      <c r="G12" s="11">
        <v>56625</v>
      </c>
      <c r="H12" s="11">
        <v>379.7</v>
      </c>
      <c r="I12" s="11">
        <v>974110</v>
      </c>
      <c r="J12" s="11">
        <v>10000</v>
      </c>
      <c r="K12" s="11">
        <v>1030735</v>
      </c>
      <c r="L12" s="11">
        <v>910755.57</v>
      </c>
      <c r="M12" s="11">
        <v>173362.59</v>
      </c>
      <c r="N12" s="11">
        <v>1084118.1599999999</v>
      </c>
    </row>
  </sheetData>
  <mergeCells count="14">
    <mergeCell ref="A11:C11"/>
    <mergeCell ref="A12:C12"/>
    <mergeCell ref="A5:C5"/>
    <mergeCell ref="A6:C6"/>
    <mergeCell ref="A7:C7"/>
    <mergeCell ref="A8:C8"/>
    <mergeCell ref="A9:C9"/>
    <mergeCell ref="A10:C10"/>
    <mergeCell ref="A1:C1"/>
    <mergeCell ref="F1:G1"/>
    <mergeCell ref="H1:I1"/>
    <mergeCell ref="A2:C2"/>
    <mergeCell ref="A3:C3"/>
    <mergeCell ref="A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449F0-629D-4F59-9E28-EC2FF24F4CA7}">
  <dimension ref="A1:L10"/>
  <sheetViews>
    <sheetView tabSelected="1" workbookViewId="0">
      <selection activeCell="I14" sqref="I14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33.5703125" customWidth="1"/>
    <col min="4" max="5" width="14.28515625" customWidth="1"/>
    <col min="6" max="6" width="7.140625" bestFit="1" customWidth="1"/>
    <col min="7" max="12" width="14.28515625" customWidth="1"/>
  </cols>
  <sheetData>
    <row r="1" spans="1:12" s="10" customFormat="1" ht="45" x14ac:dyDescent="0.25">
      <c r="A1" s="7" t="s">
        <v>69</v>
      </c>
      <c r="B1" s="8"/>
      <c r="C1" s="9"/>
      <c r="D1" s="4" t="s">
        <v>38</v>
      </c>
      <c r="E1" s="4"/>
      <c r="F1" s="4" t="s">
        <v>39</v>
      </c>
      <c r="G1" s="4"/>
      <c r="H1" s="3" t="s">
        <v>42</v>
      </c>
      <c r="I1" s="3" t="s">
        <v>43</v>
      </c>
      <c r="J1" s="3" t="s">
        <v>44</v>
      </c>
      <c r="K1" s="3" t="s">
        <v>45</v>
      </c>
      <c r="L1" s="3" t="s">
        <v>40</v>
      </c>
    </row>
    <row r="2" spans="1:12" s="10" customFormat="1" ht="15" customHeight="1" x14ac:dyDescent="0.25">
      <c r="A2" s="5" t="s">
        <v>1</v>
      </c>
      <c r="B2" s="5"/>
      <c r="C2" s="5"/>
      <c r="D2" s="6" t="s">
        <v>0</v>
      </c>
      <c r="E2" s="6" t="s">
        <v>32</v>
      </c>
      <c r="F2" s="6" t="s">
        <v>0</v>
      </c>
      <c r="G2" s="6" t="s">
        <v>32</v>
      </c>
      <c r="H2" s="6" t="s">
        <v>32</v>
      </c>
      <c r="I2" s="6" t="s">
        <v>32</v>
      </c>
      <c r="J2" s="6" t="s">
        <v>32</v>
      </c>
      <c r="K2" s="6" t="s">
        <v>32</v>
      </c>
      <c r="L2" s="6" t="s">
        <v>32</v>
      </c>
    </row>
    <row r="3" spans="1:12" ht="15" customHeight="1" x14ac:dyDescent="0.25">
      <c r="A3" s="1" t="s">
        <v>70</v>
      </c>
      <c r="B3" s="1"/>
      <c r="C3" s="1"/>
      <c r="D3" s="2">
        <v>0</v>
      </c>
      <c r="E3" s="2">
        <v>0</v>
      </c>
      <c r="F3" s="2">
        <v>22.15</v>
      </c>
      <c r="G3" s="2">
        <v>44300</v>
      </c>
      <c r="H3" s="2">
        <v>44300</v>
      </c>
      <c r="I3" s="2">
        <v>44300</v>
      </c>
      <c r="J3" s="2">
        <v>49975.7</v>
      </c>
      <c r="K3" s="2" t="s">
        <v>36</v>
      </c>
      <c r="L3" s="2">
        <v>94275.7</v>
      </c>
    </row>
    <row r="4" spans="1:12" ht="15" customHeight="1" x14ac:dyDescent="0.25">
      <c r="A4" s="1" t="s">
        <v>71</v>
      </c>
      <c r="B4" s="1"/>
      <c r="C4" s="1"/>
      <c r="D4" s="2">
        <v>0</v>
      </c>
      <c r="E4" s="2">
        <v>0</v>
      </c>
      <c r="F4" s="2">
        <v>48</v>
      </c>
      <c r="G4" s="2">
        <v>96000</v>
      </c>
      <c r="H4" s="2">
        <v>96000</v>
      </c>
      <c r="I4" s="2">
        <v>96000</v>
      </c>
      <c r="J4" s="2">
        <v>41066.050000000003</v>
      </c>
      <c r="K4" s="2" t="s">
        <v>36</v>
      </c>
      <c r="L4" s="2">
        <v>137066.04999999999</v>
      </c>
    </row>
    <row r="5" spans="1:12" ht="15" customHeight="1" x14ac:dyDescent="0.25">
      <c r="A5" s="1" t="s">
        <v>72</v>
      </c>
      <c r="B5" s="1"/>
      <c r="C5" s="1"/>
      <c r="D5" s="2">
        <v>0</v>
      </c>
      <c r="E5" s="2">
        <v>0</v>
      </c>
      <c r="F5" s="2">
        <v>24.5</v>
      </c>
      <c r="G5" s="2">
        <v>58800</v>
      </c>
      <c r="H5" s="2">
        <v>58800</v>
      </c>
      <c r="I5" s="2">
        <v>58800</v>
      </c>
      <c r="J5" s="2">
        <v>24004</v>
      </c>
      <c r="K5" s="2" t="s">
        <v>36</v>
      </c>
      <c r="L5" s="2">
        <v>82804</v>
      </c>
    </row>
    <row r="6" spans="1:12" ht="15" customHeight="1" x14ac:dyDescent="0.25">
      <c r="A6" s="1" t="s">
        <v>73</v>
      </c>
      <c r="B6" s="1"/>
      <c r="C6" s="1"/>
      <c r="D6" s="2">
        <v>0</v>
      </c>
      <c r="E6" s="2">
        <v>0</v>
      </c>
      <c r="F6" s="2">
        <v>43.7</v>
      </c>
      <c r="G6" s="2">
        <v>87400</v>
      </c>
      <c r="H6" s="2">
        <v>87400</v>
      </c>
      <c r="I6" s="2">
        <v>87400</v>
      </c>
      <c r="J6" s="2" t="s">
        <v>36</v>
      </c>
      <c r="K6" s="2" t="s">
        <v>36</v>
      </c>
      <c r="L6" s="2">
        <v>87400</v>
      </c>
    </row>
    <row r="7" spans="1:12" ht="15" customHeight="1" x14ac:dyDescent="0.25">
      <c r="A7" s="1" t="s">
        <v>74</v>
      </c>
      <c r="B7" s="1"/>
      <c r="C7" s="1"/>
      <c r="D7" s="2">
        <v>0</v>
      </c>
      <c r="E7" s="2">
        <v>0</v>
      </c>
      <c r="F7" s="2">
        <v>40.200000000000003</v>
      </c>
      <c r="G7" s="2">
        <v>66410.399999999994</v>
      </c>
      <c r="H7" s="2">
        <v>66410.399999999994</v>
      </c>
      <c r="I7" s="2">
        <v>66410.399999999994</v>
      </c>
      <c r="J7" s="2" t="s">
        <v>36</v>
      </c>
      <c r="K7" s="2">
        <v>300965.36</v>
      </c>
      <c r="L7" s="2">
        <v>367375.76</v>
      </c>
    </row>
    <row r="8" spans="1:12" ht="15" customHeight="1" x14ac:dyDescent="0.25">
      <c r="A8" s="1" t="s">
        <v>75</v>
      </c>
      <c r="B8" s="1"/>
      <c r="C8" s="1"/>
      <c r="D8" s="2">
        <v>0</v>
      </c>
      <c r="E8" s="2">
        <v>0</v>
      </c>
      <c r="F8" s="2">
        <v>5</v>
      </c>
      <c r="G8" s="2">
        <v>10000</v>
      </c>
      <c r="H8" s="2">
        <v>10000</v>
      </c>
      <c r="I8" s="2">
        <v>10000</v>
      </c>
      <c r="J8" s="2" t="s">
        <v>36</v>
      </c>
      <c r="K8" s="2">
        <v>3314.63</v>
      </c>
      <c r="L8" s="2">
        <v>13314.63</v>
      </c>
    </row>
    <row r="9" spans="1:12" ht="15" customHeight="1" x14ac:dyDescent="0.25">
      <c r="A9" s="1" t="s">
        <v>76</v>
      </c>
      <c r="B9" s="1"/>
      <c r="C9" s="1"/>
      <c r="D9" s="2">
        <v>8.5</v>
      </c>
      <c r="E9" s="2">
        <v>35700</v>
      </c>
      <c r="F9" s="2">
        <v>48</v>
      </c>
      <c r="G9" s="2">
        <v>134400</v>
      </c>
      <c r="H9" s="2">
        <v>170100</v>
      </c>
      <c r="I9" s="2">
        <v>170100</v>
      </c>
      <c r="J9" s="2">
        <v>74269.7</v>
      </c>
      <c r="K9" s="2" t="s">
        <v>36</v>
      </c>
      <c r="L9" s="2">
        <v>244369.7</v>
      </c>
    </row>
    <row r="10" spans="1:12" s="10" customFormat="1" ht="15" customHeight="1" x14ac:dyDescent="0.25">
      <c r="A10" s="4" t="s">
        <v>31</v>
      </c>
      <c r="B10" s="4"/>
      <c r="C10" s="4"/>
      <c r="D10" s="11">
        <v>8.5</v>
      </c>
      <c r="E10" s="11">
        <v>35700</v>
      </c>
      <c r="F10" s="11">
        <v>231.55</v>
      </c>
      <c r="G10" s="11">
        <v>497310.4</v>
      </c>
      <c r="H10" s="11">
        <v>533010.4</v>
      </c>
      <c r="I10" s="11">
        <v>533010.4</v>
      </c>
      <c r="J10" s="11">
        <v>189315.45</v>
      </c>
      <c r="K10" s="11">
        <v>304279.99</v>
      </c>
      <c r="L10" s="11">
        <v>1026605.84</v>
      </c>
    </row>
  </sheetData>
  <mergeCells count="12">
    <mergeCell ref="A5:C5"/>
    <mergeCell ref="A6:C6"/>
    <mergeCell ref="A7:C7"/>
    <mergeCell ref="A8:C8"/>
    <mergeCell ref="A9:C9"/>
    <mergeCell ref="A10:C10"/>
    <mergeCell ref="A1:C1"/>
    <mergeCell ref="D1:E1"/>
    <mergeCell ref="F1:G1"/>
    <mergeCell ref="A2:C2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2025-07-22T21:53:32Z</dcterms:modified>
</cp:coreProperties>
</file>