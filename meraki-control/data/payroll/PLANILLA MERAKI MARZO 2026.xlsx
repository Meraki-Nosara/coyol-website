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big\Downloads\"/>
    </mc:Choice>
  </mc:AlternateContent>
  <xr:revisionPtr revIDLastSave="0" documentId="13_ncr:1_{1B420560-784F-4F47-8947-6A451AD20B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MANA 27 FEB-05 MARZO 2026" sheetId="1" r:id="rId1"/>
    <sheet name="SEMANA 06-12 MARZO 2026" sheetId="2" r:id="rId2"/>
    <sheet name="SEMANA 13-19 MARZO 2026" sheetId="3" r:id="rId3"/>
    <sheet name="SEMANA 20-26 MARZO 2026" sheetId="4" r:id="rId4"/>
    <sheet name="SEMANA 27-02 ABRIL 2026" sheetId="5" r:id="rId5"/>
    <sheet name="PLANILLA FIJA 01-15 MARZO 2026" sheetId="6" r:id="rId6"/>
    <sheet name="PLANILLA FIJA 16-31 MARZO 2026" sheetId="7" r:id="rId7"/>
    <sheet name="VACACION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8" l="1"/>
  <c r="B65" i="5"/>
  <c r="B63" i="4"/>
  <c r="B64" i="3" l="1"/>
  <c r="B64" i="2"/>
  <c r="B62" i="2"/>
  <c r="B63" i="1" l="1"/>
</calcChain>
</file>

<file path=xl/sharedStrings.xml><?xml version="1.0" encoding="utf-8"?>
<sst xmlns="http://schemas.openxmlformats.org/spreadsheetml/2006/main" count="355" uniqueCount="88">
  <si>
    <t>ALEJANDRO XAVIER SALAZAR CARVAJAL</t>
  </si>
  <si>
    <t>BRYAN ONIEL ZAMORA CRUZ</t>
  </si>
  <si>
    <t>BYRON ANTONIO ESPINOZA ALVARADO</t>
  </si>
  <si>
    <t>CARLOS VARGAS FERNANDEZ</t>
  </si>
  <si>
    <t>CARMEN ISABEL MUÑOZ ESPINOZA</t>
  </si>
  <si>
    <t>DARWIN TUGWELL FONSECA</t>
  </si>
  <si>
    <t>DIEGO ALEJANDRO LOPEZ ALVAREZ</t>
  </si>
  <si>
    <t>EDER JESUS ROJAS HERNANDEZ</t>
  </si>
  <si>
    <t>ELIZABETH SABALLO MAYORGA</t>
  </si>
  <si>
    <t>ERICK ANTONIO CISNE SILVA</t>
  </si>
  <si>
    <t>ESMERALDA DAYANA LOPEZ MATARRITA</t>
  </si>
  <si>
    <t>FRANKLIN ALI MENDOZA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</si>
  <si>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</si>
  <si>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</si>
  <si>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</si>
  <si>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</si>
  <si>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</si>
  <si>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</si>
  <si>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JORDAN ENRIQUE JIMENEZ GONZALES</t>
  </si>
  <si>
    <t>JORGE JOSE SILVA ESPINOZA</t>
  </si>
  <si>
    <t>JULIA MARIA ARRIETA EDUARTE</t>
  </si>
  <si>
    <t>KEISY DANIELA RUIZ RUIZ</t>
  </si>
  <si>
    <t>KIMBERLEEN PAOLA MOLINA SOTO</t>
  </si>
  <si>
    <t>LINDA LORENA GUEVARA TORRES</t>
  </si>
  <si>
    <t>MARCO GERVASINI MARTINEZ</t>
  </si>
  <si>
    <t>MARIA NELA HERNANDEZ GUTIERREZ</t>
  </si>
  <si>
    <t>MARIA TERESA SABALLO MAYORGA</t>
  </si>
  <si>
    <t>MARISELA DEL CARMEN MENDOZA CALERO</t>
  </si>
  <si>
    <t>NIELSI SELENE NAVARRETE GOMEZ</t>
  </si>
  <si>
    <t>RONALD OLIVIER CRUZ NOINDICAOTRO</t>
  </si>
  <si>
    <t>ROSAURA CASTILLO ALVARADO</t>
  </si>
  <si>
    <t>VERONICA MEJIA GONZALES</t>
  </si>
  <si>
    <t>ZELANDIA CRUZ BRENES</t>
  </si>
  <si>
    <t>ADRIANA MACIEL CRUZ CRUZ</t>
  </si>
  <si>
    <t>CARLOS CABRERA VEGA</t>
  </si>
  <si>
    <t>CHEIRY NICOLE PEREZ PEREZ</t>
  </si>
  <si>
    <t>DARIN TUGWELL RODRIGUEZ</t>
  </si>
  <si>
    <t>GABRIELA HERRERA MONTIEL</t>
  </si>
  <si>
    <t>GRISELL DAYANNA LOPEZ ALVAREZ</t>
  </si>
  <si>
    <t>JUAN RAMON CASTILLO ALVARADO</t>
  </si>
  <si>
    <t>MEYLING URBINA MARTINEZ</t>
  </si>
  <si>
    <t>RAUL RODRIGUEZ MONTIEL</t>
  </si>
  <si>
    <t>SILVIA PILAR RODRIGUEZ MATARRITA</t>
  </si>
  <si>
    <t>ALVARO LUIS PIÑAR JIMENEZ</t>
  </si>
  <si>
    <t>ANDRES TROCONIS ROMERO</t>
  </si>
  <si>
    <t>ANTHONY WRIGHT JIMENEZ</t>
  </si>
  <si>
    <t>AURORA MARIA PRENDAS HERNANDEZ</t>
  </si>
  <si>
    <t>EVELYN UGALDE RODRIGUEZ</t>
  </si>
  <si>
    <t>GEORGE DANIEL LOPEZ GOMEZ</t>
  </si>
  <si>
    <t>JOHN FREISER LOPEZ JIMENEZ</t>
  </si>
  <si>
    <t>LEINER RODRIGUEZ VILLALOBOS</t>
  </si>
  <si>
    <t>LUIS ALEJANDRO ARCE ALFARO</t>
  </si>
  <si>
    <t>MARIO ALBERTO CAMPOS CASTILLO</t>
  </si>
  <si>
    <t>MEYLING DE LOS ANGELES PINEDA PALACIOS</t>
  </si>
  <si>
    <t>MOISES DORMUZ CASTILLO</t>
  </si>
  <si>
    <t>YEFERSON JESUA RIVERA GUEVARA</t>
  </si>
  <si>
    <t>YORDANY DIAZ MATARRITA</t>
  </si>
  <si>
    <t>ALEJANDRO COYOL</t>
  </si>
  <si>
    <t>ELVIN JAVIER LOPEZ LOPEZ</t>
  </si>
  <si>
    <t>JASSON ESPINOZA MUÑOZ</t>
  </si>
  <si>
    <t>SALARIO</t>
  </si>
  <si>
    <t>SALARIOS MERAKI SEM 27 FEB 05 MARZO 2026</t>
  </si>
  <si>
    <t>TOTAL</t>
  </si>
  <si>
    <t>SALARIOS MERAKI SEM 06-12 MARZO 2026</t>
  </si>
  <si>
    <t>JOSE ALEJANDRO JUAREZ TREMINIO</t>
  </si>
  <si>
    <t>JOSE VARGAS (PRUEBA COYOL SUBE DANI)</t>
  </si>
  <si>
    <t>SALARIOS FIJOS 01-15 MARZO 2026</t>
  </si>
  <si>
    <t>Desc. empleado</t>
  </si>
  <si>
    <t>Monto a pagar</t>
  </si>
  <si>
    <t>ABNER CARRILLO RANGEL</t>
  </si>
  <si>
    <t>DANIEL ARTURO BLANCO PALACIOS</t>
  </si>
  <si>
    <t>INGRID MEJIAS ANGULO</t>
  </si>
  <si>
    <t>INGRID MEJIAS ANGULO out</t>
  </si>
  <si>
    <t>MARYON PERI</t>
  </si>
  <si>
    <t>PABLO ALEJANDRO ROMERO MONTIEL</t>
  </si>
  <si>
    <t>SILVIA ELENA DUARTE VEGA</t>
  </si>
  <si>
    <t>SOFIA NATALIA CAMPOS BRENEZ</t>
  </si>
  <si>
    <t>Total general</t>
  </si>
  <si>
    <t>SALARIOS MERAKI SEM 13-19 MARZ 2026</t>
  </si>
  <si>
    <t>JOSE  VARGAS PRUEBA</t>
  </si>
  <si>
    <t>SALARIOS MERAKI SEM 20-26 MARZO 2026</t>
  </si>
  <si>
    <t>VACACIONES</t>
  </si>
  <si>
    <t>ZULEYMA RUIZ CAMPOS</t>
  </si>
  <si>
    <t>SALARIOS FIJOS MERAKI 16-31 MARZO 2026</t>
  </si>
  <si>
    <t>CANCELAR</t>
  </si>
  <si>
    <t>Total colones</t>
  </si>
  <si>
    <t>SALARIOS MERAKI SEM 27 MARZ - 02 ABRIL 2026</t>
  </si>
  <si>
    <t>JOSE VARGAS PRUEBA COYOL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</si>
</sst>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₡&quot;#,##0"/>
  </numFmts>
  <fonts count="14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4"/>
      <color rgb="FF000000"/>
      <name val="Arial"/>
      <family val="2"/>
    </font>
    <font>
      <sz val="14"/>
      <color rgb="FF323232"/>
      <name val="Arial"/>
      <family val="2"/>
    </font>
    <font>
      <sz val="12"/>
      <color rgb="FF323232"/>
      <name val="Arial"/>
      <family val="2"/>
    </font>
    <font>
      <sz val="12"/>
      <color rgb="FF000000"/>
      <name val="Arial"/>
      <family val="2"/>
    </font>
    <font>
      <b/>
      <sz val="14"/>
      <color rgb="FF323232"/>
      <name val="Arial"/>
      <family val="2"/>
    </font>
    <font>
      <b/>
      <sz val="12"/>
      <color rgb="FF000000"/>
      <name val="Calibri"/>
      <family val="2"/>
    </font>
    <font>
      <sz val="11"/>
      <color rgb="FF323232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</patternFill>
    </fill>
    <fill>
      <patternFill patternType="solid">
        <fgColor rgb="FFFFF7E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16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164" fontId="8" fillId="5" borderId="1" xfId="0" applyNumberFormat="1" applyFont="1" applyFill="1" applyBorder="1" applyAlignment="1">
      <alignment horizontal="center" vertical="top" wrapText="1"/>
    </xf>
    <xf numFmtId="164" fontId="9" fillId="5" borderId="1" xfId="0" applyNumberFormat="1" applyFont="1" applyFill="1" applyBorder="1" applyAlignment="1">
      <alignment horizontal="center" vertical="top" wrapText="1"/>
    </xf>
    <xf numFmtId="164" fontId="10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top" wrapText="1"/>
    </xf>
    <xf numFmtId="164" fontId="1" fillId="7" borderId="1" xfId="0" applyNumberFormat="1" applyFont="1" applyFill="1" applyBorder="1" applyAlignment="1">
      <alignment horizontal="center" vertical="center" wrapText="1"/>
    </xf>
    <xf numFmtId="164" fontId="1" fillId="8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showGridLines="0" tabSelected="1" zoomScale="80" zoomScaleNormal="80" workbookViewId="0">
      <selection activeCell="E17" sqref="E17"/>
    </sheetView>
  </sheetViews>
  <sheetFormatPr baseColWidth="10" defaultRowHeight="14.4" x14ac:dyDescent="0.3"/>
  <cols>
    <col min="1" max="1" width="55.33203125" customWidth="1"/>
    <col min="2" max="2" width="11.33203125" style="3" bestFit="1" customWidth="1"/>
  </cols>
  <sheetData>
    <row r="1" spans="1:2" ht="27" customHeight="1" x14ac:dyDescent="0.3">
      <c r="A1" s="4" t="s">
        <v>61</v>
      </c>
      <c r="B1" s="4" t="s">
        <v>60</v>
      </c>
    </row>
    <row r="2" spans="1:2" ht="15" customHeight="1" x14ac:dyDescent="0.3">
      <c r="A2" s="5" t="s">
        <v>0</v>
      </c>
      <c r="B2" s="2">
        <v>97106.13</v>
      </c>
    </row>
    <row r="3" spans="1:2" ht="15" customHeight="1" x14ac:dyDescent="0.3">
      <c r="A3" s="5" t="s">
        <v>2</v>
      </c>
      <c r="B3" s="2">
        <v>109313.5</v>
      </c>
    </row>
    <row r="4" spans="1:2" ht="15" customHeight="1" x14ac:dyDescent="0.3">
      <c r="A4" s="5" t="s">
        <v>4</v>
      </c>
      <c r="B4" s="2">
        <v>89883.359999999986</v>
      </c>
    </row>
    <row r="5" spans="1:2" ht="15" customHeight="1" x14ac:dyDescent="0.3">
      <c r="A5" s="5" t="s">
        <v>6</v>
      </c>
      <c r="B5" s="2">
        <v>82214.739999999991</v>
      </c>
    </row>
    <row r="6" spans="1:2" ht="15" customHeight="1" x14ac:dyDescent="0.3">
      <c r="A6" s="5" t="s">
        <v>7</v>
      </c>
      <c r="B6" s="2">
        <v>68351.300000000047</v>
      </c>
    </row>
    <row r="7" spans="1:2" ht="15" customHeight="1" x14ac:dyDescent="0.3">
      <c r="A7" s="5" t="s">
        <v>8</v>
      </c>
      <c r="B7" s="2">
        <v>114761.79000000001</v>
      </c>
    </row>
    <row r="8" spans="1:2" ht="15" customHeight="1" x14ac:dyDescent="0.3">
      <c r="A8" s="5" t="s">
        <v>10</v>
      </c>
      <c r="B8" s="2">
        <v>80788.020000000019</v>
      </c>
    </row>
    <row r="9" spans="1:2" ht="15" customHeight="1" x14ac:dyDescent="0.3">
      <c r="A9" s="5" t="s">
        <v>12</v>
      </c>
      <c r="B9" s="2">
        <v>92201.78</v>
      </c>
    </row>
    <row r="10" spans="1:2" x14ac:dyDescent="0.3">
      <c r="A10" s="5" t="s">
        <v>13</v>
      </c>
      <c r="B10" s="2">
        <v>116099.34000000003</v>
      </c>
    </row>
    <row r="11" spans="1:2" x14ac:dyDescent="0.3">
      <c r="A11" s="5" t="s">
        <v>14</v>
      </c>
      <c r="B11" s="2">
        <v>10470.280000000028</v>
      </c>
    </row>
    <row r="12" spans="1:2" x14ac:dyDescent="0.3">
      <c r="A12" s="5" t="s">
        <v>15</v>
      </c>
      <c r="B12" s="2">
        <v>118404.8</v>
      </c>
    </row>
    <row r="13" spans="1:2" x14ac:dyDescent="0.3">
      <c r="A13" s="5" t="s">
        <v>16</v>
      </c>
      <c r="B13" s="2">
        <v>83320.449999999953</v>
      </c>
    </row>
    <row r="14" spans="1:2" x14ac:dyDescent="0.3">
      <c r="A14" s="5" t="s">
        <v>17</v>
      </c>
      <c r="B14" s="2">
        <v>33954.69</v>
      </c>
    </row>
    <row r="15" spans="1:2" x14ac:dyDescent="0.3">
      <c r="A15" s="5" t="s">
        <v>19</v>
      </c>
      <c r="B15" s="2">
        <v>111538.29</v>
      </c>
    </row>
    <row r="16" spans="1:2" x14ac:dyDescent="0.3">
      <c r="A16" s="5" t="s">
        <v>20</v>
      </c>
      <c r="B16" s="2">
        <v>145659.18999999994</v>
      </c>
    </row>
    <row r="17" spans="1:2" x14ac:dyDescent="0.3">
      <c r="A17" s="5" t="s">
        <v>21</v>
      </c>
      <c r="B17" s="2">
        <v>37563.75</v>
      </c>
    </row>
    <row r="18" spans="1:2" x14ac:dyDescent="0.3">
      <c r="A18" s="5" t="s">
        <v>22</v>
      </c>
      <c r="B18" s="2">
        <v>56124.670000000042</v>
      </c>
    </row>
    <row r="19" spans="1:2" x14ac:dyDescent="0.3">
      <c r="A19" s="5" t="s">
        <v>23</v>
      </c>
      <c r="B19" s="2">
        <v>90564.319999999992</v>
      </c>
    </row>
    <row r="20" spans="1:2" x14ac:dyDescent="0.3">
      <c r="A20" s="5" t="s">
        <v>25</v>
      </c>
      <c r="B20" s="2">
        <v>115564.32</v>
      </c>
    </row>
    <row r="21" spans="1:2" x14ac:dyDescent="0.3">
      <c r="A21" s="5" t="s">
        <v>26</v>
      </c>
      <c r="B21" s="2">
        <v>92692.21</v>
      </c>
    </row>
    <row r="22" spans="1:2" x14ac:dyDescent="0.3">
      <c r="A22" s="5" t="s">
        <v>28</v>
      </c>
      <c r="B22" s="2">
        <v>40436.280000000028</v>
      </c>
    </row>
    <row r="23" spans="1:2" x14ac:dyDescent="0.3">
      <c r="A23" s="5" t="s">
        <v>30</v>
      </c>
      <c r="B23" s="2">
        <v>72406.040000000008</v>
      </c>
    </row>
    <row r="24" spans="1:2" x14ac:dyDescent="0.3">
      <c r="A24" s="5" t="s">
        <v>31</v>
      </c>
      <c r="B24" s="2">
        <v>56051.010000000009</v>
      </c>
    </row>
    <row r="25" spans="1:2" x14ac:dyDescent="0.3">
      <c r="A25" s="6" t="s">
        <v>36</v>
      </c>
      <c r="B25" s="2">
        <v>102055.06</v>
      </c>
    </row>
    <row r="26" spans="1:2" x14ac:dyDescent="0.3">
      <c r="A26" s="6" t="s">
        <v>37</v>
      </c>
      <c r="B26" s="2">
        <v>144455.4</v>
      </c>
    </row>
    <row r="27" spans="1:2" x14ac:dyDescent="0.3">
      <c r="A27" s="6" t="s">
        <v>38</v>
      </c>
      <c r="B27" s="2">
        <v>140442.75</v>
      </c>
    </row>
    <row r="28" spans="1:2" x14ac:dyDescent="0.3">
      <c r="A28" s="6" t="s">
        <v>39</v>
      </c>
      <c r="B28" s="2">
        <v>98443.680000000008</v>
      </c>
    </row>
    <row r="29" spans="1:2" x14ac:dyDescent="0.3">
      <c r="A29" s="6" t="s">
        <v>40</v>
      </c>
      <c r="B29" s="2">
        <v>129909.54000000001</v>
      </c>
    </row>
    <row r="30" spans="1:2" x14ac:dyDescent="0.3">
      <c r="A30" s="6" t="s">
        <v>44</v>
      </c>
      <c r="B30" s="2">
        <v>72165.37</v>
      </c>
    </row>
    <row r="31" spans="1:2" x14ac:dyDescent="0.3">
      <c r="A31" s="6" t="s">
        <v>46</v>
      </c>
      <c r="B31" s="2">
        <v>165192.78000000003</v>
      </c>
    </row>
    <row r="32" spans="1:2" x14ac:dyDescent="0.3">
      <c r="A32" s="6" t="s">
        <v>48</v>
      </c>
      <c r="B32" s="2">
        <v>0</v>
      </c>
    </row>
    <row r="33" spans="1:2" x14ac:dyDescent="0.3">
      <c r="A33" s="6" t="s">
        <v>49</v>
      </c>
      <c r="B33" s="2">
        <v>0</v>
      </c>
    </row>
    <row r="34" spans="1:2" x14ac:dyDescent="0.3">
      <c r="A34" s="6" t="s">
        <v>54</v>
      </c>
      <c r="B34" s="2">
        <v>83775.569999999949</v>
      </c>
    </row>
    <row r="35" spans="1:2" x14ac:dyDescent="0.3">
      <c r="A35" s="6" t="s">
        <v>55</v>
      </c>
      <c r="B35" s="2">
        <v>77401.340000000084</v>
      </c>
    </row>
    <row r="36" spans="1:2" x14ac:dyDescent="0.3">
      <c r="A36" s="6" t="s">
        <v>56</v>
      </c>
      <c r="B36" s="2">
        <v>100048.73999999999</v>
      </c>
    </row>
    <row r="37" spans="1:2" ht="15" customHeight="1" x14ac:dyDescent="0.3">
      <c r="A37" s="6" t="s">
        <v>58</v>
      </c>
      <c r="B37" s="2">
        <v>115599</v>
      </c>
    </row>
    <row r="38" spans="1:2" ht="15" customHeight="1" x14ac:dyDescent="0.3">
      <c r="A38" s="6" t="s">
        <v>59</v>
      </c>
      <c r="B38" s="2">
        <v>77730.340000000084</v>
      </c>
    </row>
    <row r="39" spans="1:2" ht="15" customHeight="1" x14ac:dyDescent="0.3">
      <c r="A39" s="6" t="s">
        <v>52</v>
      </c>
      <c r="B39" s="2">
        <v>124392.15</v>
      </c>
    </row>
    <row r="40" spans="1:2" ht="15" customHeight="1" x14ac:dyDescent="0.3">
      <c r="A40" s="5" t="s">
        <v>24</v>
      </c>
      <c r="B40" s="2">
        <v>0</v>
      </c>
    </row>
    <row r="41" spans="1:2" ht="15" customHeight="1" x14ac:dyDescent="0.3">
      <c r="A41" s="6" t="s">
        <v>33</v>
      </c>
      <c r="B41" s="2">
        <v>119844.48</v>
      </c>
    </row>
    <row r="42" spans="1:2" ht="15" customHeight="1" x14ac:dyDescent="0.3">
      <c r="A42" s="6" t="s">
        <v>34</v>
      </c>
      <c r="B42" s="2">
        <v>102723.84000000001</v>
      </c>
    </row>
    <row r="43" spans="1:2" ht="15" customHeight="1" x14ac:dyDescent="0.3">
      <c r="A43" s="5" t="s">
        <v>1</v>
      </c>
      <c r="B43" s="2">
        <v>36113.85</v>
      </c>
    </row>
    <row r="44" spans="1:2" ht="15" customHeight="1" x14ac:dyDescent="0.3">
      <c r="A44" s="6" t="s">
        <v>42</v>
      </c>
      <c r="B44" s="2">
        <v>62775.680000000008</v>
      </c>
    </row>
    <row r="45" spans="1:2" ht="15" customHeight="1" x14ac:dyDescent="0.3">
      <c r="A45" s="6" t="s">
        <v>51</v>
      </c>
      <c r="B45" s="2">
        <v>131529.32</v>
      </c>
    </row>
    <row r="46" spans="1:2" ht="15" customHeight="1" x14ac:dyDescent="0.3">
      <c r="A46" s="5" t="s">
        <v>5</v>
      </c>
      <c r="B46" s="2">
        <v>102723.84</v>
      </c>
    </row>
    <row r="47" spans="1:2" ht="15" customHeight="1" x14ac:dyDescent="0.3">
      <c r="A47" s="5" t="s">
        <v>27</v>
      </c>
      <c r="B47" s="2">
        <v>74679.87</v>
      </c>
    </row>
    <row r="48" spans="1:2" ht="15" customHeight="1" x14ac:dyDescent="0.3">
      <c r="A48" s="5" t="s">
        <v>9</v>
      </c>
      <c r="B48" s="2">
        <v>120375.04000000001</v>
      </c>
    </row>
    <row r="49" spans="1:3" ht="15" customHeight="1" x14ac:dyDescent="0.3">
      <c r="A49" s="6" t="s">
        <v>45</v>
      </c>
      <c r="B49" s="2">
        <v>93494.739999999991</v>
      </c>
    </row>
    <row r="50" spans="1:3" ht="15" customHeight="1" x14ac:dyDescent="0.3">
      <c r="A50" s="6" t="s">
        <v>50</v>
      </c>
      <c r="B50" s="2">
        <v>147063.62</v>
      </c>
    </row>
    <row r="51" spans="1:3" ht="15" customHeight="1" x14ac:dyDescent="0.3">
      <c r="A51" s="6" t="s">
        <v>35</v>
      </c>
      <c r="B51" s="2">
        <v>92290.950000000012</v>
      </c>
    </row>
    <row r="52" spans="1:3" ht="15" customHeight="1" x14ac:dyDescent="0.3">
      <c r="A52" s="6" t="s">
        <v>47</v>
      </c>
      <c r="B52" s="2">
        <v>113691.75000000001</v>
      </c>
    </row>
    <row r="53" spans="1:3" ht="15" customHeight="1" x14ac:dyDescent="0.3">
      <c r="A53" s="5" t="s">
        <v>18</v>
      </c>
      <c r="B53" s="2">
        <v>90061.7</v>
      </c>
    </row>
    <row r="54" spans="1:3" ht="15" customHeight="1" x14ac:dyDescent="0.3">
      <c r="A54" s="6" t="s">
        <v>43</v>
      </c>
      <c r="B54" s="2">
        <v>0</v>
      </c>
    </row>
    <row r="55" spans="1:3" ht="15" customHeight="1" x14ac:dyDescent="0.3">
      <c r="A55" s="6" t="s">
        <v>53</v>
      </c>
      <c r="B55" s="2">
        <v>128993.31999999999</v>
      </c>
    </row>
    <row r="56" spans="1:3" ht="15" customHeight="1" x14ac:dyDescent="0.3">
      <c r="A56" s="5" t="s">
        <v>29</v>
      </c>
      <c r="B56" s="2">
        <v>130946.14000000001</v>
      </c>
    </row>
    <row r="57" spans="1:3" ht="15" customHeight="1" x14ac:dyDescent="0.3">
      <c r="A57" s="5" t="s">
        <v>3</v>
      </c>
      <c r="B57" s="2">
        <v>81756.409999999974</v>
      </c>
    </row>
    <row r="58" spans="1:3" ht="15" customHeight="1" x14ac:dyDescent="0.3">
      <c r="A58" s="5" t="s">
        <v>32</v>
      </c>
      <c r="B58" s="2">
        <v>72673.549999999988</v>
      </c>
    </row>
    <row r="59" spans="1:3" ht="15" customHeight="1" x14ac:dyDescent="0.3">
      <c r="A59" s="5" t="s">
        <v>11</v>
      </c>
      <c r="B59" s="2">
        <v>105933.96</v>
      </c>
    </row>
    <row r="60" spans="1:3" ht="15" customHeight="1" x14ac:dyDescent="0.3">
      <c r="A60" s="6" t="s">
        <v>41</v>
      </c>
      <c r="B60" s="2">
        <v>104328.9</v>
      </c>
    </row>
    <row r="61" spans="1:3" ht="15" customHeight="1" x14ac:dyDescent="0.3">
      <c r="A61" s="6" t="s">
        <v>57</v>
      </c>
      <c r="B61" s="2">
        <v>102000.00000000001</v>
      </c>
    </row>
    <row r="62" spans="1:3" x14ac:dyDescent="0.3">
      <c r="B62" s="8" t="s">
        <v>62</v>
      </c>
    </row>
    <row r="63" spans="1:3" x14ac:dyDescent="0.3">
      <c r="B63" s="9">
        <f>SUM(B2:B62)</f>
        <v>5361082.9400000013</v>
      </c>
      <c r="C63" s="1"/>
    </row>
    <row r="64" spans="1:3" x14ac:dyDescent="0.3">
      <c r="B6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655E6-7BB8-4B51-B5D7-84F0A06AC364}">
  <dimension ref="A1:B64"/>
  <sheetViews>
    <sheetView topLeftCell="A58" workbookViewId="0">
      <selection activeCell="F6" sqref="F6"/>
    </sheetView>
  </sheetViews>
  <sheetFormatPr baseColWidth="10" defaultRowHeight="18.600000000000001" customHeight="1" x14ac:dyDescent="0.3"/>
  <cols>
    <col min="1" max="1" width="57.6640625" customWidth="1"/>
    <col min="2" max="2" width="11.33203125" bestFit="1" customWidth="1"/>
  </cols>
  <sheetData>
    <row r="1" spans="1:2" ht="18.600000000000001" customHeight="1" x14ac:dyDescent="0.3">
      <c r="A1" s="10" t="s">
        <v>63</v>
      </c>
      <c r="B1" s="11" t="s">
        <v>60</v>
      </c>
    </row>
    <row r="2" spans="1:2" ht="18.600000000000001" customHeight="1" x14ac:dyDescent="0.3">
      <c r="A2" s="12" t="s">
        <v>0</v>
      </c>
      <c r="B2" s="2">
        <v>101520.04</v>
      </c>
    </row>
    <row r="3" spans="1:2" ht="18.600000000000001" customHeight="1" x14ac:dyDescent="0.3">
      <c r="A3" s="12" t="s">
        <v>2</v>
      </c>
      <c r="B3" s="2">
        <v>111284.16</v>
      </c>
    </row>
    <row r="4" spans="1:2" ht="18.600000000000001" customHeight="1" x14ac:dyDescent="0.3">
      <c r="A4" s="12" t="s">
        <v>4</v>
      </c>
      <c r="B4" s="2">
        <v>89883.359999999986</v>
      </c>
    </row>
    <row r="5" spans="1:2" ht="18.600000000000001" customHeight="1" x14ac:dyDescent="0.3">
      <c r="A5" s="12" t="s">
        <v>6</v>
      </c>
      <c r="B5" s="2">
        <v>71106.440000000061</v>
      </c>
    </row>
    <row r="6" spans="1:2" ht="18.600000000000001" customHeight="1" x14ac:dyDescent="0.3">
      <c r="A6" s="12" t="s">
        <v>7</v>
      </c>
      <c r="B6" s="2">
        <v>53218.150000000023</v>
      </c>
    </row>
    <row r="7" spans="1:2" ht="18.600000000000001" customHeight="1" x14ac:dyDescent="0.3">
      <c r="A7" s="12" t="s">
        <v>8</v>
      </c>
      <c r="B7" s="2">
        <v>118239.42</v>
      </c>
    </row>
    <row r="8" spans="1:2" ht="18.600000000000001" customHeight="1" x14ac:dyDescent="0.3">
      <c r="A8" s="12" t="s">
        <v>10</v>
      </c>
      <c r="B8" s="2">
        <v>82482.250000000015</v>
      </c>
    </row>
    <row r="9" spans="1:2" ht="18.600000000000001" customHeight="1" x14ac:dyDescent="0.3">
      <c r="A9" s="12" t="s">
        <v>12</v>
      </c>
      <c r="B9" s="2">
        <v>94163.520000000004</v>
      </c>
    </row>
    <row r="10" spans="1:2" ht="18.600000000000001" customHeight="1" x14ac:dyDescent="0.3">
      <c r="A10" s="12" t="s">
        <v>13</v>
      </c>
      <c r="B10" s="2">
        <v>108912.23999999999</v>
      </c>
    </row>
    <row r="11" spans="1:2" ht="18.600000000000001" customHeight="1" x14ac:dyDescent="0.3">
      <c r="A11" s="12" t="s">
        <v>14</v>
      </c>
      <c r="B11" s="2">
        <v>15552.429999999935</v>
      </c>
    </row>
    <row r="12" spans="1:2" ht="18.600000000000001" customHeight="1" x14ac:dyDescent="0.3">
      <c r="A12" s="12" t="s">
        <v>15</v>
      </c>
      <c r="B12" s="2">
        <v>128404.79999999999</v>
      </c>
    </row>
    <row r="13" spans="1:2" ht="18.600000000000001" customHeight="1" x14ac:dyDescent="0.3">
      <c r="A13" s="12" t="s">
        <v>16</v>
      </c>
      <c r="B13" s="2">
        <v>77292.56</v>
      </c>
    </row>
    <row r="14" spans="1:2" ht="18.600000000000001" customHeight="1" x14ac:dyDescent="0.3">
      <c r="A14" s="12" t="s">
        <v>17</v>
      </c>
      <c r="B14" s="2">
        <v>51189.819999999949</v>
      </c>
    </row>
    <row r="15" spans="1:2" ht="18.600000000000001" customHeight="1" x14ac:dyDescent="0.3">
      <c r="A15" s="12" t="s">
        <v>19</v>
      </c>
      <c r="B15" s="2">
        <v>107684.96</v>
      </c>
    </row>
    <row r="16" spans="1:2" ht="18.600000000000001" customHeight="1" x14ac:dyDescent="0.3">
      <c r="A16" s="12" t="s">
        <v>20</v>
      </c>
      <c r="B16" s="2">
        <v>118908.18999999994</v>
      </c>
    </row>
    <row r="17" spans="1:2" ht="18.600000000000001" customHeight="1" x14ac:dyDescent="0.3">
      <c r="A17" s="12" t="s">
        <v>21</v>
      </c>
      <c r="B17" s="2">
        <v>45518.430000000051</v>
      </c>
    </row>
    <row r="18" spans="1:2" ht="18.600000000000001" customHeight="1" x14ac:dyDescent="0.3">
      <c r="A18" s="12" t="s">
        <v>22</v>
      </c>
      <c r="B18" s="2">
        <v>61796.060000000056</v>
      </c>
    </row>
    <row r="19" spans="1:2" ht="18.600000000000001" customHeight="1" x14ac:dyDescent="0.3">
      <c r="A19" s="12" t="s">
        <v>23</v>
      </c>
      <c r="B19" s="2">
        <v>128926.43999999999</v>
      </c>
    </row>
    <row r="20" spans="1:2" ht="18.600000000000001" customHeight="1" x14ac:dyDescent="0.3">
      <c r="A20" s="12" t="s">
        <v>25</v>
      </c>
      <c r="B20" s="2">
        <v>115564.31999999999</v>
      </c>
    </row>
    <row r="21" spans="1:2" ht="18.600000000000001" customHeight="1" x14ac:dyDescent="0.3">
      <c r="A21" s="12" t="s">
        <v>26</v>
      </c>
      <c r="B21" s="2">
        <v>98309.92</v>
      </c>
    </row>
    <row r="22" spans="1:2" ht="18.600000000000001" customHeight="1" x14ac:dyDescent="0.3">
      <c r="A22" s="12" t="s">
        <v>28</v>
      </c>
      <c r="B22" s="2">
        <v>58923.540000000037</v>
      </c>
    </row>
    <row r="23" spans="1:2" ht="18.600000000000001" customHeight="1" x14ac:dyDescent="0.3">
      <c r="A23" s="12" t="s">
        <v>30</v>
      </c>
      <c r="B23" s="2">
        <v>83552.289999999921</v>
      </c>
    </row>
    <row r="24" spans="1:2" ht="18.600000000000001" customHeight="1" x14ac:dyDescent="0.3">
      <c r="A24" s="12" t="s">
        <v>31</v>
      </c>
      <c r="B24" s="2">
        <v>44051.010000000009</v>
      </c>
    </row>
    <row r="25" spans="1:2" ht="18.600000000000001" customHeight="1" x14ac:dyDescent="0.3">
      <c r="A25" s="12" t="s">
        <v>36</v>
      </c>
      <c r="B25" s="2">
        <v>124793.41</v>
      </c>
    </row>
    <row r="26" spans="1:2" ht="18.600000000000001" customHeight="1" x14ac:dyDescent="0.3">
      <c r="A26" s="12" t="s">
        <v>37</v>
      </c>
      <c r="B26" s="2">
        <v>123054.6</v>
      </c>
    </row>
    <row r="27" spans="1:2" ht="18.600000000000001" customHeight="1" x14ac:dyDescent="0.3">
      <c r="A27" s="12" t="s">
        <v>38</v>
      </c>
      <c r="B27" s="2">
        <v>105035.62</v>
      </c>
    </row>
    <row r="28" spans="1:2" ht="18.600000000000001" customHeight="1" x14ac:dyDescent="0.3">
      <c r="A28" s="12" t="s">
        <v>39</v>
      </c>
      <c r="B28" s="2">
        <v>98443.68</v>
      </c>
    </row>
    <row r="29" spans="1:2" ht="18.600000000000001" customHeight="1" x14ac:dyDescent="0.3">
      <c r="A29" s="12" t="s">
        <v>40</v>
      </c>
      <c r="B29" s="2">
        <v>110347.87</v>
      </c>
    </row>
    <row r="30" spans="1:2" ht="18.600000000000001" customHeight="1" x14ac:dyDescent="0.3">
      <c r="A30" s="12" t="s">
        <v>44</v>
      </c>
      <c r="B30" s="2">
        <v>79677.849999999977</v>
      </c>
    </row>
    <row r="31" spans="1:2" ht="18.600000000000001" customHeight="1" x14ac:dyDescent="0.3">
      <c r="A31" s="12" t="s">
        <v>46</v>
      </c>
      <c r="B31" s="2">
        <v>115124.17</v>
      </c>
    </row>
    <row r="32" spans="1:2" ht="18.600000000000001" customHeight="1" x14ac:dyDescent="0.3">
      <c r="A32" s="12" t="s">
        <v>48</v>
      </c>
      <c r="B32" s="2">
        <v>0</v>
      </c>
    </row>
    <row r="33" spans="1:2" ht="18.600000000000001" customHeight="1" x14ac:dyDescent="0.3">
      <c r="A33" s="12" t="s">
        <v>49</v>
      </c>
      <c r="B33" s="2">
        <v>0</v>
      </c>
    </row>
    <row r="34" spans="1:2" ht="18.600000000000001" customHeight="1" x14ac:dyDescent="0.3">
      <c r="A34" s="12" t="s">
        <v>54</v>
      </c>
      <c r="B34" s="2">
        <v>72848.319999999949</v>
      </c>
    </row>
    <row r="35" spans="1:2" ht="18.600000000000001" customHeight="1" x14ac:dyDescent="0.3">
      <c r="A35" s="12" t="s">
        <v>55</v>
      </c>
      <c r="B35" s="2">
        <v>72848.320000000007</v>
      </c>
    </row>
    <row r="36" spans="1:2" ht="18.600000000000001" customHeight="1" x14ac:dyDescent="0.3">
      <c r="A36" s="12" t="s">
        <v>56</v>
      </c>
      <c r="B36" s="2">
        <v>97106.129999999946</v>
      </c>
    </row>
    <row r="37" spans="1:2" ht="18.600000000000001" customHeight="1" x14ac:dyDescent="0.3">
      <c r="A37" s="12" t="s">
        <v>58</v>
      </c>
      <c r="B37" s="2">
        <v>142232</v>
      </c>
    </row>
    <row r="38" spans="1:2" ht="18.600000000000001" customHeight="1" x14ac:dyDescent="0.3">
      <c r="A38" s="12" t="s">
        <v>59</v>
      </c>
      <c r="B38" s="2">
        <v>91908</v>
      </c>
    </row>
    <row r="39" spans="1:2" ht="18.600000000000001" customHeight="1" x14ac:dyDescent="0.3">
      <c r="A39" s="12" t="s">
        <v>52</v>
      </c>
      <c r="B39" s="2">
        <v>148769</v>
      </c>
    </row>
    <row r="40" spans="1:2" ht="18.600000000000001" customHeight="1" x14ac:dyDescent="0.3">
      <c r="A40" s="12" t="s">
        <v>24</v>
      </c>
      <c r="B40" s="2">
        <v>149805.59999999998</v>
      </c>
    </row>
    <row r="41" spans="1:2" ht="18.600000000000001" customHeight="1" x14ac:dyDescent="0.3">
      <c r="A41" s="12" t="s">
        <v>33</v>
      </c>
      <c r="B41" s="2">
        <v>104364.56999999999</v>
      </c>
    </row>
    <row r="42" spans="1:2" ht="18.600000000000001" customHeight="1" x14ac:dyDescent="0.3">
      <c r="A42" s="12" t="s">
        <v>34</v>
      </c>
      <c r="B42" s="2">
        <v>105933.96</v>
      </c>
    </row>
    <row r="43" spans="1:2" ht="18.600000000000001" customHeight="1" x14ac:dyDescent="0.3">
      <c r="A43" s="12" t="s">
        <v>1</v>
      </c>
      <c r="B43" s="2">
        <v>79807.149999999994</v>
      </c>
    </row>
    <row r="44" spans="1:2" ht="18.600000000000001" customHeight="1" x14ac:dyDescent="0.3">
      <c r="A44" s="12" t="s">
        <v>42</v>
      </c>
      <c r="B44" s="2">
        <v>74367.78</v>
      </c>
    </row>
    <row r="45" spans="1:2" ht="18.600000000000001" customHeight="1" x14ac:dyDescent="0.3">
      <c r="A45" s="12" t="s">
        <v>51</v>
      </c>
      <c r="B45" s="2">
        <v>163737.51999999999</v>
      </c>
    </row>
    <row r="46" spans="1:2" ht="18.600000000000001" customHeight="1" x14ac:dyDescent="0.3">
      <c r="A46" s="12" t="s">
        <v>5</v>
      </c>
      <c r="B46" s="2">
        <v>102723.84000000001</v>
      </c>
    </row>
    <row r="47" spans="1:2" ht="18.600000000000001" customHeight="1" x14ac:dyDescent="0.3">
      <c r="A47" s="12" t="s">
        <v>27</v>
      </c>
      <c r="B47" s="2">
        <v>72450.62</v>
      </c>
    </row>
    <row r="48" spans="1:2" ht="18.600000000000001" customHeight="1" x14ac:dyDescent="0.3">
      <c r="A48" s="12" t="s">
        <v>9</v>
      </c>
      <c r="B48" s="2">
        <v>124124.64</v>
      </c>
    </row>
    <row r="49" spans="1:2" ht="18.600000000000001" customHeight="1" x14ac:dyDescent="0.3">
      <c r="A49" s="12" t="s">
        <v>45</v>
      </c>
      <c r="B49" s="2">
        <v>96303.599999999977</v>
      </c>
    </row>
    <row r="50" spans="1:2" ht="18.600000000000001" customHeight="1" x14ac:dyDescent="0.3">
      <c r="A50" s="12" t="s">
        <v>50</v>
      </c>
      <c r="B50" s="2">
        <v>115999.02</v>
      </c>
    </row>
    <row r="51" spans="1:2" ht="18.600000000000001" customHeight="1" x14ac:dyDescent="0.3">
      <c r="A51" s="12" t="s">
        <v>35</v>
      </c>
      <c r="B51" s="2">
        <v>105016.65</v>
      </c>
    </row>
    <row r="52" spans="1:2" ht="18.600000000000001" customHeight="1" x14ac:dyDescent="0.3">
      <c r="A52" s="12" t="s">
        <v>47</v>
      </c>
      <c r="B52" s="2">
        <v>110722.39</v>
      </c>
    </row>
    <row r="53" spans="1:2" ht="18.600000000000001" customHeight="1" x14ac:dyDescent="0.3">
      <c r="A53" s="12" t="s">
        <v>18</v>
      </c>
      <c r="B53" s="2">
        <v>101765.25999999998</v>
      </c>
    </row>
    <row r="54" spans="1:2" ht="18.600000000000001" customHeight="1" x14ac:dyDescent="0.3">
      <c r="A54" s="12" t="s">
        <v>43</v>
      </c>
      <c r="B54" s="2">
        <v>0</v>
      </c>
    </row>
    <row r="55" spans="1:2" ht="18.600000000000001" customHeight="1" x14ac:dyDescent="0.3">
      <c r="A55" s="12" t="s">
        <v>53</v>
      </c>
      <c r="B55" s="2">
        <v>145608.37</v>
      </c>
    </row>
    <row r="56" spans="1:2" ht="18.600000000000001" customHeight="1" x14ac:dyDescent="0.3">
      <c r="A56" s="12" t="s">
        <v>29</v>
      </c>
      <c r="B56" s="2">
        <v>123054.59999999999</v>
      </c>
    </row>
    <row r="57" spans="1:2" ht="18.600000000000001" customHeight="1" x14ac:dyDescent="0.3">
      <c r="A57" s="12" t="s">
        <v>3</v>
      </c>
      <c r="B57" s="2">
        <v>59660.079999999958</v>
      </c>
    </row>
    <row r="58" spans="1:2" ht="18.600000000000001" customHeight="1" x14ac:dyDescent="0.3">
      <c r="A58" s="12" t="s">
        <v>32</v>
      </c>
      <c r="B58" s="2">
        <v>72584.38</v>
      </c>
    </row>
    <row r="59" spans="1:2" ht="18.600000000000001" customHeight="1" x14ac:dyDescent="0.3">
      <c r="A59" s="12" t="s">
        <v>11</v>
      </c>
      <c r="B59" s="2">
        <v>117811.40000000001</v>
      </c>
    </row>
    <row r="60" spans="1:2" ht="18.600000000000001" customHeight="1" x14ac:dyDescent="0.3">
      <c r="A60" s="12" t="s">
        <v>41</v>
      </c>
      <c r="B60" s="2">
        <v>89615.85</v>
      </c>
    </row>
    <row r="61" spans="1:2" ht="18.600000000000001" customHeight="1" x14ac:dyDescent="0.3">
      <c r="A61" s="12" t="s">
        <v>64</v>
      </c>
      <c r="B61" s="2">
        <v>78772.780000000013</v>
      </c>
    </row>
    <row r="62" spans="1:2" ht="18.600000000000001" customHeight="1" x14ac:dyDescent="0.3">
      <c r="A62" s="13" t="s">
        <v>65</v>
      </c>
      <c r="B62" s="2">
        <f>10.5*2300</f>
        <v>24150</v>
      </c>
    </row>
    <row r="63" spans="1:2" ht="18.600000000000001" customHeight="1" x14ac:dyDescent="0.3">
      <c r="B63" s="9" t="s">
        <v>60</v>
      </c>
    </row>
    <row r="64" spans="1:2" ht="18.600000000000001" customHeight="1" x14ac:dyDescent="0.3">
      <c r="B64" s="9">
        <f>SUM(B2:B63)</f>
        <v>5567053.379999998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881A-9C77-413D-8E2A-9F153E71323A}">
  <dimension ref="A1:B64"/>
  <sheetViews>
    <sheetView workbookViewId="0">
      <selection activeCell="D3" sqref="D3"/>
    </sheetView>
  </sheetViews>
  <sheetFormatPr baseColWidth="10" defaultRowHeight="22.2" customHeight="1" x14ac:dyDescent="0.3"/>
  <cols>
    <col min="1" max="1" width="55.21875" customWidth="1"/>
    <col min="2" max="2" width="12.6640625" bestFit="1" customWidth="1"/>
  </cols>
  <sheetData>
    <row r="1" spans="1:2" ht="22.2" customHeight="1" x14ac:dyDescent="0.3">
      <c r="A1" s="17" t="s">
        <v>78</v>
      </c>
      <c r="B1" s="17" t="s">
        <v>60</v>
      </c>
    </row>
    <row r="2" spans="1:2" ht="22.2" customHeight="1" x14ac:dyDescent="0.3">
      <c r="A2" s="13" t="s">
        <v>0</v>
      </c>
      <c r="B2" s="2">
        <v>94163.51999999999</v>
      </c>
    </row>
    <row r="3" spans="1:2" ht="22.2" customHeight="1" x14ac:dyDescent="0.3">
      <c r="A3" s="13" t="s">
        <v>2</v>
      </c>
      <c r="B3" s="2">
        <v>104444.81999999999</v>
      </c>
    </row>
    <row r="4" spans="1:2" ht="22.2" customHeight="1" x14ac:dyDescent="0.3">
      <c r="A4" s="13" t="s">
        <v>4</v>
      </c>
      <c r="B4" s="2">
        <v>87917.160000000033</v>
      </c>
    </row>
    <row r="5" spans="1:2" ht="22.2" customHeight="1" x14ac:dyDescent="0.3">
      <c r="A5" s="13" t="s">
        <v>6</v>
      </c>
      <c r="B5" s="2">
        <v>88634.979999999981</v>
      </c>
    </row>
    <row r="6" spans="1:2" ht="22.2" customHeight="1" x14ac:dyDescent="0.3">
      <c r="A6" s="13" t="s">
        <v>7</v>
      </c>
      <c r="B6" s="2">
        <v>69603.429999999935</v>
      </c>
    </row>
    <row r="7" spans="1:2" ht="22.2" customHeight="1" x14ac:dyDescent="0.3">
      <c r="A7" s="13" t="s">
        <v>8</v>
      </c>
      <c r="B7" s="2">
        <v>114761.79</v>
      </c>
    </row>
    <row r="8" spans="1:2" ht="22.2" customHeight="1" x14ac:dyDescent="0.3">
      <c r="A8" s="13" t="s">
        <v>10</v>
      </c>
      <c r="B8" s="2">
        <v>85603.199999999997</v>
      </c>
    </row>
    <row r="9" spans="1:2" ht="22.2" customHeight="1" x14ac:dyDescent="0.3">
      <c r="A9" s="13" t="s">
        <v>12</v>
      </c>
      <c r="B9" s="2">
        <v>94163.51999999999</v>
      </c>
    </row>
    <row r="10" spans="1:2" ht="22.2" customHeight="1" x14ac:dyDescent="0.3">
      <c r="A10" s="13" t="s">
        <v>13</v>
      </c>
      <c r="B10" s="2">
        <v>110432.58999999997</v>
      </c>
    </row>
    <row r="11" spans="1:2" ht="22.2" customHeight="1" x14ac:dyDescent="0.3">
      <c r="A11" s="13" t="s">
        <v>14</v>
      </c>
      <c r="B11" s="2">
        <v>3178.4899999999907</v>
      </c>
    </row>
    <row r="12" spans="1:2" ht="22.2" customHeight="1" x14ac:dyDescent="0.3">
      <c r="A12" s="13" t="s">
        <v>15</v>
      </c>
      <c r="B12" s="2">
        <v>132417.44999999998</v>
      </c>
    </row>
    <row r="13" spans="1:2" ht="22.2" customHeight="1" x14ac:dyDescent="0.3">
      <c r="A13" s="13" t="s">
        <v>16</v>
      </c>
      <c r="B13" s="2">
        <v>86111.469999999972</v>
      </c>
    </row>
    <row r="14" spans="1:2" ht="22.2" customHeight="1" x14ac:dyDescent="0.3">
      <c r="A14" s="13" t="s">
        <v>17</v>
      </c>
      <c r="B14" s="2">
        <v>68277.650000000023</v>
      </c>
    </row>
    <row r="15" spans="1:2" ht="22.2" customHeight="1" x14ac:dyDescent="0.3">
      <c r="A15" s="13" t="s">
        <v>19</v>
      </c>
      <c r="B15" s="2">
        <v>107684.95999999999</v>
      </c>
    </row>
    <row r="16" spans="1:2" ht="22.2" customHeight="1" x14ac:dyDescent="0.3">
      <c r="A16" s="13" t="s">
        <v>20</v>
      </c>
      <c r="B16" s="2">
        <v>152480.69999999995</v>
      </c>
    </row>
    <row r="17" spans="1:2" ht="22.2" customHeight="1" x14ac:dyDescent="0.3">
      <c r="A17" s="13" t="s">
        <v>21</v>
      </c>
      <c r="B17" s="2">
        <v>54725.229999999981</v>
      </c>
    </row>
    <row r="18" spans="1:2" ht="22.2" customHeight="1" x14ac:dyDescent="0.3">
      <c r="A18" s="13" t="s">
        <v>22</v>
      </c>
      <c r="B18" s="2">
        <v>62237.979999999981</v>
      </c>
    </row>
    <row r="19" spans="1:2" ht="22.2" customHeight="1" x14ac:dyDescent="0.3">
      <c r="A19" s="13" t="s">
        <v>23</v>
      </c>
      <c r="B19" s="2">
        <v>115564.32</v>
      </c>
    </row>
    <row r="20" spans="1:2" ht="22.2" customHeight="1" x14ac:dyDescent="0.3">
      <c r="A20" s="13" t="s">
        <v>25</v>
      </c>
      <c r="B20" s="2">
        <v>119175.70000000001</v>
      </c>
    </row>
    <row r="21" spans="1:2" ht="22.2" customHeight="1" x14ac:dyDescent="0.3">
      <c r="A21" s="13" t="s">
        <v>26</v>
      </c>
      <c r="B21" s="2">
        <v>106736.48999999999</v>
      </c>
    </row>
    <row r="22" spans="1:2" ht="22.2" customHeight="1" x14ac:dyDescent="0.3">
      <c r="A22" s="13" t="s">
        <v>28</v>
      </c>
      <c r="B22" s="2">
        <v>41614.75</v>
      </c>
    </row>
    <row r="23" spans="1:2" ht="22.2" customHeight="1" x14ac:dyDescent="0.3">
      <c r="A23" s="13" t="s">
        <v>30</v>
      </c>
      <c r="B23" s="2">
        <v>56533.77999999997</v>
      </c>
    </row>
    <row r="24" spans="1:2" ht="22.2" customHeight="1" x14ac:dyDescent="0.3">
      <c r="A24" s="13" t="s">
        <v>31</v>
      </c>
      <c r="B24" s="2">
        <v>48096.339999999967</v>
      </c>
    </row>
    <row r="25" spans="1:2" ht="22.2" customHeight="1" x14ac:dyDescent="0.3">
      <c r="A25" s="13" t="s">
        <v>36</v>
      </c>
      <c r="B25" s="2">
        <v>128404.8</v>
      </c>
    </row>
    <row r="26" spans="1:2" ht="22.2" customHeight="1" x14ac:dyDescent="0.3">
      <c r="A26" s="13" t="s">
        <v>37</v>
      </c>
      <c r="B26" s="2">
        <v>148468.04999999999</v>
      </c>
    </row>
    <row r="27" spans="1:2" ht="22.2" customHeight="1" x14ac:dyDescent="0.3">
      <c r="A27" s="13" t="s">
        <v>38</v>
      </c>
      <c r="B27" s="2">
        <v>122051.43999999999</v>
      </c>
    </row>
    <row r="28" spans="1:2" ht="22.2" customHeight="1" x14ac:dyDescent="0.3">
      <c r="A28" s="13" t="s">
        <v>39</v>
      </c>
      <c r="B28" s="2">
        <v>76088.760000000009</v>
      </c>
    </row>
    <row r="29" spans="1:2" ht="22.2" customHeight="1" x14ac:dyDescent="0.3">
      <c r="A29" s="13" t="s">
        <v>40</v>
      </c>
      <c r="B29" s="2">
        <v>113190.16999999998</v>
      </c>
    </row>
    <row r="30" spans="1:2" ht="22.2" customHeight="1" x14ac:dyDescent="0.3">
      <c r="A30" s="13" t="s">
        <v>44</v>
      </c>
      <c r="B30" s="2">
        <v>71163.709999999963</v>
      </c>
    </row>
    <row r="31" spans="1:2" ht="22.2" customHeight="1" x14ac:dyDescent="0.3">
      <c r="A31" s="13" t="s">
        <v>46</v>
      </c>
      <c r="B31" s="2">
        <v>152441.82</v>
      </c>
    </row>
    <row r="32" spans="1:2" ht="22.2" customHeight="1" x14ac:dyDescent="0.3">
      <c r="A32" s="13" t="s">
        <v>48</v>
      </c>
      <c r="B32" s="2">
        <v>0</v>
      </c>
    </row>
    <row r="33" spans="1:2" ht="22.2" customHeight="1" x14ac:dyDescent="0.3">
      <c r="A33" s="13" t="s">
        <v>49</v>
      </c>
      <c r="B33" s="2">
        <v>0</v>
      </c>
    </row>
    <row r="34" spans="1:2" ht="22.2" customHeight="1" x14ac:dyDescent="0.3">
      <c r="A34" s="13" t="s">
        <v>54</v>
      </c>
      <c r="B34" s="2">
        <v>55683.44</v>
      </c>
    </row>
    <row r="35" spans="1:2" ht="22.2" customHeight="1" x14ac:dyDescent="0.3">
      <c r="A35" s="13" t="s">
        <v>55</v>
      </c>
      <c r="B35" s="2">
        <v>63499.459999999963</v>
      </c>
    </row>
    <row r="36" spans="1:2" ht="22.2" customHeight="1" x14ac:dyDescent="0.3">
      <c r="A36" s="13" t="s">
        <v>56</v>
      </c>
      <c r="B36" s="2">
        <v>90953.400000000023</v>
      </c>
    </row>
    <row r="37" spans="1:2" ht="22.2" customHeight="1" x14ac:dyDescent="0.3">
      <c r="A37" s="13" t="s">
        <v>58</v>
      </c>
      <c r="B37" s="2">
        <v>137100</v>
      </c>
    </row>
    <row r="38" spans="1:2" ht="22.2" customHeight="1" x14ac:dyDescent="0.3">
      <c r="A38" s="13" t="s">
        <v>59</v>
      </c>
      <c r="B38" s="2">
        <v>76811.260000000009</v>
      </c>
    </row>
    <row r="39" spans="1:2" ht="22.2" customHeight="1" x14ac:dyDescent="0.3">
      <c r="A39" s="13" t="s">
        <v>52</v>
      </c>
      <c r="B39" s="2">
        <v>136095.71</v>
      </c>
    </row>
    <row r="40" spans="1:2" ht="22.2" customHeight="1" x14ac:dyDescent="0.3">
      <c r="A40" s="13" t="s">
        <v>24</v>
      </c>
      <c r="B40" s="2">
        <v>136965.12</v>
      </c>
    </row>
    <row r="41" spans="1:2" ht="22.2" customHeight="1" x14ac:dyDescent="0.3">
      <c r="A41" s="13" t="s">
        <v>33</v>
      </c>
      <c r="B41" s="2">
        <v>119844.48</v>
      </c>
    </row>
    <row r="42" spans="1:2" ht="22.2" customHeight="1" x14ac:dyDescent="0.3">
      <c r="A42" s="13" t="s">
        <v>34</v>
      </c>
      <c r="B42" s="2">
        <v>85603.199999999983</v>
      </c>
    </row>
    <row r="43" spans="1:2" ht="22.2" customHeight="1" x14ac:dyDescent="0.3">
      <c r="A43" s="13" t="s">
        <v>1</v>
      </c>
      <c r="B43" s="2">
        <v>104328.9</v>
      </c>
    </row>
    <row r="44" spans="1:2" ht="22.2" customHeight="1" x14ac:dyDescent="0.3">
      <c r="A44" s="13" t="s">
        <v>42</v>
      </c>
      <c r="B44" s="2">
        <v>85603.199999999997</v>
      </c>
    </row>
    <row r="45" spans="1:2" ht="22.2" customHeight="1" x14ac:dyDescent="0.3">
      <c r="A45" s="13" t="s">
        <v>51</v>
      </c>
      <c r="B45" s="2">
        <v>127334.76000000001</v>
      </c>
    </row>
    <row r="46" spans="1:2" ht="22.2" customHeight="1" x14ac:dyDescent="0.3">
      <c r="A46" s="13" t="s">
        <v>5</v>
      </c>
      <c r="B46" s="2">
        <v>102723.84</v>
      </c>
    </row>
    <row r="47" spans="1:2" ht="22.2" customHeight="1" x14ac:dyDescent="0.3">
      <c r="A47" s="13" t="s">
        <v>27</v>
      </c>
      <c r="B47" s="2">
        <v>75014.260000000009</v>
      </c>
    </row>
    <row r="48" spans="1:2" ht="22.2" customHeight="1" x14ac:dyDescent="0.3">
      <c r="A48" s="13" t="s">
        <v>9</v>
      </c>
      <c r="B48" s="2">
        <v>124124.63999999998</v>
      </c>
    </row>
    <row r="49" spans="1:2" ht="22.2" customHeight="1" x14ac:dyDescent="0.3">
      <c r="A49" s="13" t="s">
        <v>45</v>
      </c>
      <c r="B49" s="2">
        <v>93628.500000000058</v>
      </c>
    </row>
    <row r="50" spans="1:2" ht="22.2" customHeight="1" x14ac:dyDescent="0.3">
      <c r="A50" s="13" t="s">
        <v>50</v>
      </c>
      <c r="B50" s="2">
        <v>146796.10999999999</v>
      </c>
    </row>
    <row r="51" spans="1:2" ht="22.2" customHeight="1" x14ac:dyDescent="0.3">
      <c r="A51" s="13" t="s">
        <v>35</v>
      </c>
      <c r="B51" s="2">
        <v>90150.87</v>
      </c>
    </row>
    <row r="52" spans="1:2" ht="22.2" customHeight="1" x14ac:dyDescent="0.3">
      <c r="A52" s="13" t="s">
        <v>47</v>
      </c>
      <c r="B52" s="2">
        <v>107004.00000000001</v>
      </c>
    </row>
    <row r="53" spans="1:2" ht="22.2" customHeight="1" x14ac:dyDescent="0.3">
      <c r="A53" s="13" t="s">
        <v>18</v>
      </c>
      <c r="B53" s="2">
        <v>102434.04</v>
      </c>
    </row>
    <row r="54" spans="1:2" ht="22.2" customHeight="1" x14ac:dyDescent="0.3">
      <c r="A54" s="13" t="s">
        <v>43</v>
      </c>
      <c r="B54" s="2">
        <v>0</v>
      </c>
    </row>
    <row r="55" spans="1:2" ht="22.2" customHeight="1" x14ac:dyDescent="0.3">
      <c r="A55" s="13" t="s">
        <v>53</v>
      </c>
      <c r="B55" s="2">
        <v>154620.78000000003</v>
      </c>
    </row>
    <row r="56" spans="1:2" ht="22.2" customHeight="1" x14ac:dyDescent="0.3">
      <c r="A56" s="13" t="s">
        <v>29</v>
      </c>
      <c r="B56" s="2">
        <v>123054.59999999999</v>
      </c>
    </row>
    <row r="57" spans="1:2" ht="22.2" customHeight="1" x14ac:dyDescent="0.3">
      <c r="A57" s="13" t="s">
        <v>3</v>
      </c>
      <c r="B57" s="2">
        <v>68793.230000000098</v>
      </c>
    </row>
    <row r="58" spans="1:2" ht="22.2" customHeight="1" x14ac:dyDescent="0.3">
      <c r="A58" s="13" t="s">
        <v>32</v>
      </c>
      <c r="B58" s="2">
        <v>59654.729999999996</v>
      </c>
    </row>
    <row r="59" spans="1:2" ht="22.2" customHeight="1" x14ac:dyDescent="0.3">
      <c r="A59" s="13" t="s">
        <v>11</v>
      </c>
      <c r="B59" s="2">
        <v>113959.25999999998</v>
      </c>
    </row>
    <row r="60" spans="1:2" ht="22.2" customHeight="1" x14ac:dyDescent="0.3">
      <c r="A60" s="13" t="s">
        <v>41</v>
      </c>
      <c r="B60" s="2">
        <v>83998.140000000014</v>
      </c>
    </row>
    <row r="61" spans="1:2" ht="22.2" customHeight="1" x14ac:dyDescent="0.3">
      <c r="A61" s="13" t="s">
        <v>64</v>
      </c>
      <c r="B61" s="2">
        <v>77239.05</v>
      </c>
    </row>
    <row r="62" spans="1:2" ht="22.2" customHeight="1" x14ac:dyDescent="0.3">
      <c r="A62" s="13" t="s">
        <v>79</v>
      </c>
      <c r="B62" s="2">
        <v>26450</v>
      </c>
    </row>
    <row r="63" spans="1:2" ht="22.2" customHeight="1" x14ac:dyDescent="0.3">
      <c r="B63" s="18" t="s">
        <v>60</v>
      </c>
    </row>
    <row r="64" spans="1:2" ht="22.2" customHeight="1" x14ac:dyDescent="0.3">
      <c r="B64" s="18">
        <f>SUM(B2:B63)</f>
        <v>5585838.0499999989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781D0-E415-4B04-A495-4AB57042A036}">
  <dimension ref="A1:B63"/>
  <sheetViews>
    <sheetView topLeftCell="A19" workbookViewId="0">
      <selection activeCell="A32" sqref="A32:XFD32"/>
    </sheetView>
  </sheetViews>
  <sheetFormatPr baseColWidth="10" defaultRowHeight="19.2" customHeight="1" x14ac:dyDescent="0.3"/>
  <cols>
    <col min="1" max="1" width="54" customWidth="1"/>
    <col min="2" max="2" width="14.44140625" customWidth="1"/>
  </cols>
  <sheetData>
    <row r="1" spans="1:2" ht="19.2" customHeight="1" x14ac:dyDescent="0.3">
      <c r="A1" s="19" t="s">
        <v>80</v>
      </c>
      <c r="B1" s="20" t="s">
        <v>60</v>
      </c>
    </row>
    <row r="2" spans="1:2" ht="19.2" customHeight="1" x14ac:dyDescent="0.3">
      <c r="A2" s="6" t="s">
        <v>0</v>
      </c>
      <c r="B2" s="2">
        <v>94163.520000000004</v>
      </c>
    </row>
    <row r="3" spans="1:2" ht="19.2" customHeight="1" x14ac:dyDescent="0.3">
      <c r="A3" s="6" t="s">
        <v>2</v>
      </c>
      <c r="B3" s="2">
        <v>74189.440000000002</v>
      </c>
    </row>
    <row r="4" spans="1:2" ht="19.2" customHeight="1" x14ac:dyDescent="0.3">
      <c r="A4" s="6" t="s">
        <v>4</v>
      </c>
      <c r="B4" s="2">
        <v>98309.919999999925</v>
      </c>
    </row>
    <row r="5" spans="1:2" ht="19.2" customHeight="1" x14ac:dyDescent="0.3">
      <c r="A5" s="6" t="s">
        <v>6</v>
      </c>
      <c r="B5" s="2">
        <v>73119.400000000023</v>
      </c>
    </row>
    <row r="6" spans="1:2" ht="19.2" customHeight="1" x14ac:dyDescent="0.3">
      <c r="A6" s="6" t="s">
        <v>7</v>
      </c>
      <c r="B6" s="2">
        <v>54356.960000000079</v>
      </c>
    </row>
    <row r="7" spans="1:2" ht="19.2" customHeight="1" x14ac:dyDescent="0.3">
      <c r="A7" s="6" t="s">
        <v>8</v>
      </c>
      <c r="B7" s="2">
        <v>118239.42000000001</v>
      </c>
    </row>
    <row r="8" spans="1:2" ht="19.2" customHeight="1" x14ac:dyDescent="0.3">
      <c r="A8" s="6" t="s">
        <v>10</v>
      </c>
      <c r="B8" s="2">
        <v>85603.199999999983</v>
      </c>
    </row>
    <row r="9" spans="1:2" ht="19.2" customHeight="1" x14ac:dyDescent="0.3">
      <c r="A9" s="6" t="s">
        <v>12</v>
      </c>
      <c r="B9" s="2">
        <v>94163.51999999999</v>
      </c>
    </row>
    <row r="10" spans="1:2" ht="19.2" customHeight="1" x14ac:dyDescent="0.3">
      <c r="A10" s="6" t="s">
        <v>13</v>
      </c>
      <c r="B10" s="2">
        <v>132684.96000000008</v>
      </c>
    </row>
    <row r="11" spans="1:2" ht="19.2" customHeight="1" x14ac:dyDescent="0.3">
      <c r="A11" s="6" t="s">
        <v>14</v>
      </c>
      <c r="B11" s="2">
        <v>20708.239999999991</v>
      </c>
    </row>
    <row r="12" spans="1:2" ht="19.2" customHeight="1" x14ac:dyDescent="0.3">
      <c r="A12" s="6" t="s">
        <v>15</v>
      </c>
      <c r="B12" s="2">
        <v>101653.8</v>
      </c>
    </row>
    <row r="13" spans="1:2" ht="19.2" customHeight="1" x14ac:dyDescent="0.3">
      <c r="A13" s="6" t="s">
        <v>16</v>
      </c>
      <c r="B13" s="2">
        <v>82928.099999999977</v>
      </c>
    </row>
    <row r="14" spans="1:2" ht="19.2" customHeight="1" x14ac:dyDescent="0.3">
      <c r="A14" s="6" t="s">
        <v>17</v>
      </c>
      <c r="B14" s="2">
        <v>70708.239999999991</v>
      </c>
    </row>
    <row r="15" spans="1:2" ht="19.2" customHeight="1" x14ac:dyDescent="0.3">
      <c r="A15" s="6" t="s">
        <v>19</v>
      </c>
      <c r="B15" s="2">
        <v>149270.58000000002</v>
      </c>
    </row>
    <row r="16" spans="1:2" ht="19.2" customHeight="1" x14ac:dyDescent="0.3">
      <c r="A16" s="6" t="s">
        <v>20</v>
      </c>
      <c r="B16" s="2">
        <v>152480.70000000007</v>
      </c>
    </row>
    <row r="17" spans="1:2" ht="19.2" customHeight="1" x14ac:dyDescent="0.3">
      <c r="A17" s="6" t="s">
        <v>21</v>
      </c>
      <c r="B17" s="2">
        <v>66878.209999999963</v>
      </c>
    </row>
    <row r="18" spans="1:2" ht="19.2" customHeight="1" x14ac:dyDescent="0.3">
      <c r="A18" s="6" t="s">
        <v>22</v>
      </c>
      <c r="B18" s="2">
        <v>65994.359999999986</v>
      </c>
    </row>
    <row r="19" spans="1:2" ht="19.2" customHeight="1" x14ac:dyDescent="0.3">
      <c r="A19" s="6" t="s">
        <v>23</v>
      </c>
      <c r="B19" s="2">
        <v>115564.31999999999</v>
      </c>
    </row>
    <row r="20" spans="1:2" ht="19.2" customHeight="1" x14ac:dyDescent="0.3">
      <c r="A20" s="6" t="s">
        <v>25</v>
      </c>
      <c r="B20" s="2">
        <v>115564.32</v>
      </c>
    </row>
    <row r="21" spans="1:2" ht="19.2" customHeight="1" x14ac:dyDescent="0.3">
      <c r="A21" s="6" t="s">
        <v>26</v>
      </c>
      <c r="B21" s="2">
        <v>119376.34</v>
      </c>
    </row>
    <row r="22" spans="1:2" ht="19.2" customHeight="1" x14ac:dyDescent="0.3">
      <c r="A22" s="6" t="s">
        <v>28</v>
      </c>
      <c r="B22" s="2">
        <v>59512.769999999902</v>
      </c>
    </row>
    <row r="23" spans="1:2" ht="19.2" customHeight="1" x14ac:dyDescent="0.3">
      <c r="A23" s="6" t="s">
        <v>30</v>
      </c>
      <c r="B23" s="2">
        <v>29426.1</v>
      </c>
    </row>
    <row r="24" spans="1:2" ht="19.2" customHeight="1" x14ac:dyDescent="0.3">
      <c r="A24" s="6" t="s">
        <v>31</v>
      </c>
      <c r="B24" s="2">
        <v>62237.979999999981</v>
      </c>
    </row>
    <row r="25" spans="1:2" ht="19.2" customHeight="1" x14ac:dyDescent="0.3">
      <c r="A25" s="21" t="s">
        <v>36</v>
      </c>
      <c r="B25" s="2">
        <v>128404.8</v>
      </c>
    </row>
    <row r="26" spans="1:2" ht="19.2" customHeight="1" x14ac:dyDescent="0.3">
      <c r="A26" s="21" t="s">
        <v>37</v>
      </c>
      <c r="B26" s="2">
        <v>146524.97</v>
      </c>
    </row>
    <row r="27" spans="1:2" ht="19.2" customHeight="1" x14ac:dyDescent="0.3">
      <c r="A27" s="21" t="s">
        <v>38</v>
      </c>
      <c r="B27" s="2">
        <v>117871.58999999998</v>
      </c>
    </row>
    <row r="28" spans="1:2" ht="19.2" customHeight="1" x14ac:dyDescent="0.3">
      <c r="A28" s="21" t="s">
        <v>39</v>
      </c>
      <c r="B28" s="2">
        <v>98443.68</v>
      </c>
    </row>
    <row r="29" spans="1:2" ht="19.2" customHeight="1" x14ac:dyDescent="0.3">
      <c r="A29" s="21" t="s">
        <v>40</v>
      </c>
      <c r="B29" s="2">
        <v>107004</v>
      </c>
    </row>
    <row r="30" spans="1:2" ht="19.2" customHeight="1" x14ac:dyDescent="0.3">
      <c r="A30" s="21" t="s">
        <v>44</v>
      </c>
      <c r="B30" s="2">
        <v>72848.320000000065</v>
      </c>
    </row>
    <row r="31" spans="1:2" ht="19.2" customHeight="1" x14ac:dyDescent="0.3">
      <c r="A31" s="21" t="s">
        <v>46</v>
      </c>
      <c r="B31" s="2">
        <v>115124.16999999998</v>
      </c>
    </row>
    <row r="32" spans="1:2" ht="19.2" customHeight="1" x14ac:dyDescent="0.3">
      <c r="A32" s="21" t="s">
        <v>48</v>
      </c>
      <c r="B32" s="2">
        <v>0</v>
      </c>
    </row>
    <row r="33" spans="1:2" ht="19.2" customHeight="1" x14ac:dyDescent="0.3">
      <c r="A33" s="21" t="s">
        <v>49</v>
      </c>
      <c r="B33" s="2">
        <v>0</v>
      </c>
    </row>
    <row r="34" spans="1:2" ht="19.2" customHeight="1" x14ac:dyDescent="0.3">
      <c r="A34" s="21" t="s">
        <v>54</v>
      </c>
      <c r="B34" s="2">
        <v>11154.899999999994</v>
      </c>
    </row>
    <row r="35" spans="1:2" ht="19.2" customHeight="1" x14ac:dyDescent="0.3">
      <c r="A35" s="21" t="s">
        <v>55</v>
      </c>
      <c r="B35" s="2">
        <v>72848.319999999949</v>
      </c>
    </row>
    <row r="36" spans="1:2" ht="19.2" customHeight="1" x14ac:dyDescent="0.3">
      <c r="A36" s="21" t="s">
        <v>56</v>
      </c>
      <c r="B36" s="2">
        <v>90953.400000000023</v>
      </c>
    </row>
    <row r="37" spans="1:2" ht="19.2" customHeight="1" x14ac:dyDescent="0.3">
      <c r="A37" s="21" t="s">
        <v>58</v>
      </c>
      <c r="B37" s="2">
        <v>162044</v>
      </c>
    </row>
    <row r="38" spans="1:2" ht="19.2" customHeight="1" x14ac:dyDescent="0.3">
      <c r="A38" s="21" t="s">
        <v>59</v>
      </c>
      <c r="B38" s="2">
        <v>89355</v>
      </c>
    </row>
    <row r="39" spans="1:2" ht="19.2" customHeight="1" x14ac:dyDescent="0.3">
      <c r="A39" s="21" t="s">
        <v>52</v>
      </c>
      <c r="B39" s="2">
        <v>153818.25</v>
      </c>
    </row>
    <row r="40" spans="1:2" ht="19.2" customHeight="1" x14ac:dyDescent="0.3">
      <c r="A40" s="6" t="s">
        <v>24</v>
      </c>
      <c r="B40" s="2">
        <v>149805.59999999998</v>
      </c>
    </row>
    <row r="41" spans="1:2" ht="19.2" customHeight="1" x14ac:dyDescent="0.3">
      <c r="A41" s="21" t="s">
        <v>33</v>
      </c>
      <c r="B41" s="2">
        <v>119844.48</v>
      </c>
    </row>
    <row r="42" spans="1:2" ht="19.2" customHeight="1" x14ac:dyDescent="0.3">
      <c r="A42" s="21" t="s">
        <v>34</v>
      </c>
      <c r="B42" s="2">
        <v>102723.84</v>
      </c>
    </row>
    <row r="43" spans="1:2" ht="19.2" customHeight="1" x14ac:dyDescent="0.3">
      <c r="A43" s="6" t="s">
        <v>1</v>
      </c>
      <c r="B43" s="2">
        <v>90953.4</v>
      </c>
    </row>
    <row r="44" spans="1:2" ht="19.2" customHeight="1" x14ac:dyDescent="0.3">
      <c r="A44" s="21" t="s">
        <v>42</v>
      </c>
      <c r="B44" s="2">
        <v>85603.199999999997</v>
      </c>
    </row>
    <row r="45" spans="1:2" ht="19.2" customHeight="1" x14ac:dyDescent="0.3">
      <c r="A45" s="21" t="s">
        <v>51</v>
      </c>
      <c r="B45" s="2">
        <v>164786.16</v>
      </c>
    </row>
    <row r="46" spans="1:2" ht="19.2" customHeight="1" x14ac:dyDescent="0.3">
      <c r="A46" s="6" t="s">
        <v>5</v>
      </c>
      <c r="B46" s="2">
        <v>85603.200000000012</v>
      </c>
    </row>
    <row r="47" spans="1:2" ht="19.2" customHeight="1" x14ac:dyDescent="0.3">
      <c r="A47" s="6" t="s">
        <v>27</v>
      </c>
      <c r="B47" s="2">
        <v>73676.709999999992</v>
      </c>
    </row>
    <row r="48" spans="1:2" ht="19.2" customHeight="1" x14ac:dyDescent="0.3">
      <c r="A48" s="6" t="s">
        <v>9</v>
      </c>
      <c r="B48" s="2">
        <v>133821.88</v>
      </c>
    </row>
    <row r="49" spans="1:2" ht="19.2" customHeight="1" x14ac:dyDescent="0.3">
      <c r="A49" s="21" t="s">
        <v>45</v>
      </c>
      <c r="B49" s="2">
        <v>93628.5</v>
      </c>
    </row>
    <row r="50" spans="1:2" ht="19.2" customHeight="1" x14ac:dyDescent="0.3">
      <c r="A50" s="21" t="s">
        <v>50</v>
      </c>
      <c r="B50" s="2">
        <v>67680.03</v>
      </c>
    </row>
    <row r="51" spans="1:2" ht="19.2" customHeight="1" x14ac:dyDescent="0.3">
      <c r="A51" s="21" t="s">
        <v>35</v>
      </c>
      <c r="B51" s="2">
        <v>82393.08</v>
      </c>
    </row>
    <row r="52" spans="1:2" ht="19.2" customHeight="1" x14ac:dyDescent="0.3">
      <c r="A52" s="21" t="s">
        <v>47</v>
      </c>
      <c r="B52" s="2">
        <v>115029.29999999999</v>
      </c>
    </row>
    <row r="53" spans="1:2" ht="19.2" customHeight="1" x14ac:dyDescent="0.3">
      <c r="A53" s="6" t="s">
        <v>18</v>
      </c>
      <c r="B53" s="2">
        <v>107004</v>
      </c>
    </row>
    <row r="54" spans="1:2" ht="19.2" customHeight="1" x14ac:dyDescent="0.3">
      <c r="A54" s="21" t="s">
        <v>43</v>
      </c>
      <c r="B54" s="2">
        <v>0</v>
      </c>
    </row>
    <row r="55" spans="1:2" ht="19.2" customHeight="1" x14ac:dyDescent="0.3">
      <c r="A55" s="21" t="s">
        <v>53</v>
      </c>
      <c r="B55" s="2">
        <v>129822.59999999999</v>
      </c>
    </row>
    <row r="56" spans="1:2" ht="19.2" customHeight="1" x14ac:dyDescent="0.3">
      <c r="A56" s="6" t="s">
        <v>29</v>
      </c>
      <c r="B56" s="2">
        <v>120379.50000000001</v>
      </c>
    </row>
    <row r="57" spans="1:2" ht="19.2" customHeight="1" x14ac:dyDescent="0.3">
      <c r="A57" s="6" t="s">
        <v>3</v>
      </c>
      <c r="B57" s="2">
        <v>77337.139999999898</v>
      </c>
    </row>
    <row r="58" spans="1:2" ht="19.2" customHeight="1" x14ac:dyDescent="0.3">
      <c r="A58" s="6" t="s">
        <v>11</v>
      </c>
      <c r="B58" s="2">
        <v>128404.79999999999</v>
      </c>
    </row>
    <row r="59" spans="1:2" ht="19.2" customHeight="1" x14ac:dyDescent="0.3">
      <c r="A59" s="21" t="s">
        <v>41</v>
      </c>
      <c r="B59" s="2">
        <v>96303.6</v>
      </c>
    </row>
    <row r="60" spans="1:2" ht="19.2" customHeight="1" x14ac:dyDescent="0.3">
      <c r="A60" s="21" t="s">
        <v>64</v>
      </c>
      <c r="B60" s="2">
        <v>65165.440000000002</v>
      </c>
    </row>
    <row r="61" spans="1:2" ht="19.2" customHeight="1" x14ac:dyDescent="0.3">
      <c r="A61" s="6" t="s">
        <v>82</v>
      </c>
      <c r="B61" s="2">
        <v>85603.199999999997</v>
      </c>
    </row>
    <row r="62" spans="1:2" ht="19.2" customHeight="1" x14ac:dyDescent="0.3">
      <c r="B62" s="7" t="s">
        <v>60</v>
      </c>
    </row>
    <row r="63" spans="1:2" ht="19.2" customHeight="1" x14ac:dyDescent="0.3">
      <c r="B63" s="7">
        <f>SUM(B2:B62)</f>
        <v>5579099.46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14DF2-C80C-40B1-9577-6846613EDC69}">
  <dimension ref="A1:B65"/>
  <sheetViews>
    <sheetView workbookViewId="0">
      <selection activeCell="F13" sqref="F13"/>
    </sheetView>
  </sheetViews>
  <sheetFormatPr baseColWidth="10" defaultRowHeight="18.600000000000001" customHeight="1" x14ac:dyDescent="0.3"/>
  <cols>
    <col min="1" max="1" width="56" customWidth="1"/>
  </cols>
  <sheetData>
    <row r="1" spans="1:2" ht="18.600000000000001" customHeight="1" x14ac:dyDescent="0.3">
      <c r="A1" s="8" t="s">
        <v>86</v>
      </c>
      <c r="B1" s="9" t="s">
        <v>60</v>
      </c>
    </row>
    <row r="2" spans="1:2" ht="18.600000000000001" customHeight="1" x14ac:dyDescent="0.3">
      <c r="A2" s="13" t="s">
        <v>0</v>
      </c>
      <c r="B2" s="2">
        <v>96321.43</v>
      </c>
    </row>
    <row r="3" spans="1:2" ht="18.600000000000001" customHeight="1" x14ac:dyDescent="0.3">
      <c r="A3" s="13" t="s">
        <v>2</v>
      </c>
      <c r="B3" s="2">
        <v>122876.26</v>
      </c>
    </row>
    <row r="4" spans="1:2" ht="18.600000000000001" customHeight="1" x14ac:dyDescent="0.3">
      <c r="A4" s="13" t="s">
        <v>4</v>
      </c>
      <c r="B4" s="2">
        <v>124525.90000000002</v>
      </c>
    </row>
    <row r="5" spans="1:2" ht="18.600000000000001" customHeight="1" x14ac:dyDescent="0.3">
      <c r="A5" s="13" t="s">
        <v>6</v>
      </c>
      <c r="B5" s="2">
        <v>81004.310000000056</v>
      </c>
    </row>
    <row r="6" spans="1:2" ht="18.600000000000001" customHeight="1" x14ac:dyDescent="0.3">
      <c r="A6" s="13" t="s">
        <v>7</v>
      </c>
      <c r="B6" s="2">
        <v>77189.830000000075</v>
      </c>
    </row>
    <row r="7" spans="1:2" ht="18.600000000000001" customHeight="1" x14ac:dyDescent="0.3">
      <c r="A7" s="13" t="s">
        <v>8</v>
      </c>
      <c r="B7" s="2">
        <v>136786.77999999997</v>
      </c>
    </row>
    <row r="8" spans="1:2" ht="18.600000000000001" customHeight="1" x14ac:dyDescent="0.3">
      <c r="A8" s="13" t="s">
        <v>10</v>
      </c>
      <c r="B8" s="2">
        <v>109768.26999999999</v>
      </c>
    </row>
    <row r="9" spans="1:2" ht="18.600000000000001" customHeight="1" x14ac:dyDescent="0.3">
      <c r="A9" s="13" t="s">
        <v>12</v>
      </c>
      <c r="B9" s="2">
        <v>94850.12999999999</v>
      </c>
    </row>
    <row r="10" spans="1:2" ht="18.600000000000001" customHeight="1" x14ac:dyDescent="0.3">
      <c r="A10" s="13" t="s">
        <v>13</v>
      </c>
      <c r="B10" s="2">
        <v>107253.68000000005</v>
      </c>
    </row>
    <row r="11" spans="1:2" ht="18.600000000000001" customHeight="1" x14ac:dyDescent="0.3">
      <c r="A11" s="13" t="s">
        <v>14</v>
      </c>
      <c r="B11" s="2">
        <v>32492.949999999953</v>
      </c>
    </row>
    <row r="12" spans="1:2" ht="18.600000000000001" customHeight="1" x14ac:dyDescent="0.3">
      <c r="A12" s="13" t="s">
        <v>15</v>
      </c>
      <c r="B12" s="2">
        <v>153818.25</v>
      </c>
    </row>
    <row r="13" spans="1:2" ht="18.600000000000001" customHeight="1" x14ac:dyDescent="0.3">
      <c r="A13" s="13" t="s">
        <v>16</v>
      </c>
      <c r="B13" s="2">
        <v>92076.940000000061</v>
      </c>
    </row>
    <row r="14" spans="1:2" ht="18.600000000000001" customHeight="1" x14ac:dyDescent="0.3">
      <c r="A14" s="13" t="s">
        <v>17</v>
      </c>
      <c r="B14" s="2">
        <v>68940.540000000037</v>
      </c>
    </row>
    <row r="15" spans="1:2" ht="18.600000000000001" customHeight="1" x14ac:dyDescent="0.3">
      <c r="A15" s="13" t="s">
        <v>19</v>
      </c>
      <c r="B15" s="2">
        <v>129799.12</v>
      </c>
    </row>
    <row r="16" spans="1:2" ht="18.600000000000001" customHeight="1" x14ac:dyDescent="0.3">
      <c r="A16" s="13" t="s">
        <v>20</v>
      </c>
      <c r="B16" s="2">
        <v>132818.70999999996</v>
      </c>
    </row>
    <row r="17" spans="1:2" ht="18.600000000000001" customHeight="1" x14ac:dyDescent="0.3">
      <c r="A17" s="13" t="s">
        <v>21</v>
      </c>
      <c r="B17" s="2">
        <v>72917.88</v>
      </c>
    </row>
    <row r="18" spans="1:2" ht="18.600000000000001" customHeight="1" x14ac:dyDescent="0.3">
      <c r="A18" s="13" t="s">
        <v>22</v>
      </c>
      <c r="B18" s="2">
        <v>57308.810000000056</v>
      </c>
    </row>
    <row r="19" spans="1:2" ht="18.600000000000001" customHeight="1" x14ac:dyDescent="0.3">
      <c r="A19" s="13" t="s">
        <v>23</v>
      </c>
      <c r="B19" s="2">
        <v>134825.03999999998</v>
      </c>
    </row>
    <row r="20" spans="1:2" ht="18.600000000000001" customHeight="1" x14ac:dyDescent="0.3">
      <c r="A20" s="13" t="s">
        <v>25</v>
      </c>
      <c r="B20" s="2">
        <v>138436.41999999998</v>
      </c>
    </row>
    <row r="21" spans="1:2" ht="18.600000000000001" customHeight="1" x14ac:dyDescent="0.3">
      <c r="A21" s="13" t="s">
        <v>26</v>
      </c>
      <c r="B21" s="2">
        <v>130986.27</v>
      </c>
    </row>
    <row r="22" spans="1:2" ht="18.600000000000001" customHeight="1" x14ac:dyDescent="0.3">
      <c r="A22" s="13" t="s">
        <v>28</v>
      </c>
      <c r="B22" s="2">
        <v>59439.120000000054</v>
      </c>
    </row>
    <row r="23" spans="1:2" ht="18.600000000000001" customHeight="1" x14ac:dyDescent="0.3">
      <c r="A23" s="13" t="s">
        <v>30</v>
      </c>
      <c r="B23" s="2">
        <v>93870.400000000023</v>
      </c>
    </row>
    <row r="24" spans="1:2" ht="18.600000000000001" customHeight="1" x14ac:dyDescent="0.3">
      <c r="A24" s="13" t="s">
        <v>31</v>
      </c>
      <c r="B24" s="2">
        <v>67507.110000000102</v>
      </c>
    </row>
    <row r="25" spans="1:2" ht="18.600000000000001" customHeight="1" x14ac:dyDescent="0.3">
      <c r="A25" s="13" t="s">
        <v>36</v>
      </c>
      <c r="B25" s="2">
        <v>146060.46</v>
      </c>
    </row>
    <row r="26" spans="1:2" ht="18.600000000000001" customHeight="1" x14ac:dyDescent="0.3">
      <c r="A26" s="13" t="s">
        <v>37</v>
      </c>
      <c r="B26" s="2">
        <v>135092.54999999999</v>
      </c>
    </row>
    <row r="27" spans="1:2" ht="18.600000000000001" customHeight="1" x14ac:dyDescent="0.3">
      <c r="A27" s="13" t="s">
        <v>38</v>
      </c>
      <c r="B27" s="2">
        <v>128181.87</v>
      </c>
    </row>
    <row r="28" spans="1:2" ht="18.600000000000001" customHeight="1" x14ac:dyDescent="0.3">
      <c r="A28" s="13" t="s">
        <v>39</v>
      </c>
      <c r="B28" s="2">
        <v>114850.95999999999</v>
      </c>
    </row>
    <row r="29" spans="1:2" ht="18.600000000000001" customHeight="1" x14ac:dyDescent="0.3">
      <c r="A29" s="13" t="s">
        <v>40</v>
      </c>
      <c r="B29" s="2">
        <v>124838</v>
      </c>
    </row>
    <row r="30" spans="1:2" ht="18.600000000000001" customHeight="1" x14ac:dyDescent="0.3">
      <c r="A30" s="13" t="s">
        <v>44</v>
      </c>
      <c r="B30" s="2">
        <v>84989.710000000079</v>
      </c>
    </row>
    <row r="31" spans="1:2" ht="18.600000000000001" customHeight="1" x14ac:dyDescent="0.3">
      <c r="A31" s="13" t="s">
        <v>46</v>
      </c>
      <c r="B31" s="2">
        <v>157970.35999999999</v>
      </c>
    </row>
    <row r="32" spans="1:2" ht="18.600000000000001" customHeight="1" x14ac:dyDescent="0.3">
      <c r="A32" s="13" t="s">
        <v>48</v>
      </c>
      <c r="B32" s="2">
        <v>0</v>
      </c>
    </row>
    <row r="33" spans="1:2" ht="18.600000000000001" customHeight="1" x14ac:dyDescent="0.3">
      <c r="A33" s="13" t="s">
        <v>49</v>
      </c>
      <c r="B33" s="2">
        <v>0</v>
      </c>
    </row>
    <row r="34" spans="1:2" ht="18.600000000000001" customHeight="1" x14ac:dyDescent="0.3">
      <c r="A34" s="13" t="s">
        <v>54</v>
      </c>
      <c r="B34" s="2">
        <v>84989.709999999963</v>
      </c>
    </row>
    <row r="35" spans="1:2" ht="18.600000000000001" customHeight="1" x14ac:dyDescent="0.3">
      <c r="A35" s="13" t="s">
        <v>55</v>
      </c>
      <c r="B35" s="2">
        <v>82758.729999999981</v>
      </c>
    </row>
    <row r="36" spans="1:2" ht="18.600000000000001" customHeight="1" x14ac:dyDescent="0.3">
      <c r="A36" s="13" t="s">
        <v>56</v>
      </c>
      <c r="B36" s="2">
        <v>95233.559999999939</v>
      </c>
    </row>
    <row r="37" spans="1:2" ht="18.600000000000001" customHeight="1" x14ac:dyDescent="0.3">
      <c r="A37" s="13" t="s">
        <v>58</v>
      </c>
      <c r="B37" s="2">
        <v>143294</v>
      </c>
    </row>
    <row r="38" spans="1:2" ht="18.600000000000001" customHeight="1" x14ac:dyDescent="0.3">
      <c r="A38" s="13" t="s">
        <v>59</v>
      </c>
      <c r="B38" s="2">
        <v>100417.99999999994</v>
      </c>
    </row>
    <row r="39" spans="1:2" ht="18.600000000000001" customHeight="1" x14ac:dyDescent="0.3">
      <c r="A39" s="13" t="s">
        <v>52</v>
      </c>
      <c r="B39" s="2">
        <v>164964.5</v>
      </c>
    </row>
    <row r="40" spans="1:2" ht="18.600000000000001" customHeight="1" x14ac:dyDescent="0.3">
      <c r="A40" s="13" t="s">
        <v>24</v>
      </c>
      <c r="B40" s="2">
        <v>159792.64000000001</v>
      </c>
    </row>
    <row r="41" spans="1:2" ht="18.600000000000001" customHeight="1" x14ac:dyDescent="0.3">
      <c r="A41" s="13" t="s">
        <v>33</v>
      </c>
      <c r="B41" s="2">
        <v>143563.70000000001</v>
      </c>
    </row>
    <row r="42" spans="1:2" ht="18.600000000000001" customHeight="1" x14ac:dyDescent="0.3">
      <c r="A42" s="13" t="s">
        <v>3</v>
      </c>
      <c r="B42" s="2">
        <v>74980.199999999953</v>
      </c>
    </row>
    <row r="43" spans="1:2" ht="18.600000000000001" customHeight="1" x14ac:dyDescent="0.3">
      <c r="A43" s="13" t="s">
        <v>1</v>
      </c>
      <c r="B43" s="2">
        <v>108787.4</v>
      </c>
    </row>
    <row r="44" spans="1:2" ht="18.600000000000001" customHeight="1" x14ac:dyDescent="0.3">
      <c r="A44" s="13" t="s">
        <v>42</v>
      </c>
      <c r="B44" s="2">
        <v>99870.399999999994</v>
      </c>
    </row>
    <row r="45" spans="1:2" ht="18.600000000000001" customHeight="1" x14ac:dyDescent="0.3">
      <c r="A45" s="13" t="s">
        <v>51</v>
      </c>
      <c r="B45" s="2">
        <v>164161.97</v>
      </c>
    </row>
    <row r="46" spans="1:2" ht="18.600000000000001" customHeight="1" x14ac:dyDescent="0.3">
      <c r="A46" s="13" t="s">
        <v>5</v>
      </c>
      <c r="B46" s="2">
        <v>148093.53999999998</v>
      </c>
    </row>
    <row r="47" spans="1:2" ht="18.600000000000001" customHeight="1" x14ac:dyDescent="0.3">
      <c r="A47" s="13" t="s">
        <v>27</v>
      </c>
      <c r="B47" s="2">
        <v>91845.1</v>
      </c>
    </row>
    <row r="48" spans="1:2" ht="18.600000000000001" customHeight="1" x14ac:dyDescent="0.3">
      <c r="A48" s="13" t="s">
        <v>9</v>
      </c>
      <c r="B48" s="2">
        <v>144812.08000000002</v>
      </c>
    </row>
    <row r="49" spans="1:2" ht="18.600000000000001" customHeight="1" x14ac:dyDescent="0.3">
      <c r="A49" s="13" t="s">
        <v>45</v>
      </c>
      <c r="B49" s="2">
        <v>110570.80000000005</v>
      </c>
    </row>
    <row r="50" spans="1:2" ht="18.600000000000001" customHeight="1" x14ac:dyDescent="0.3">
      <c r="A50" s="13" t="s">
        <v>50</v>
      </c>
      <c r="B50" s="2">
        <v>156604.81</v>
      </c>
    </row>
    <row r="51" spans="1:2" ht="18.600000000000001" customHeight="1" x14ac:dyDescent="0.3">
      <c r="A51" s="13" t="s">
        <v>35</v>
      </c>
      <c r="B51" s="2">
        <v>99870.399999999994</v>
      </c>
    </row>
    <row r="52" spans="1:2" ht="18.600000000000001" customHeight="1" x14ac:dyDescent="0.3">
      <c r="A52" s="13" t="s">
        <v>47</v>
      </c>
      <c r="B52" s="2">
        <v>118061.08</v>
      </c>
    </row>
    <row r="53" spans="1:2" ht="18.600000000000001" customHeight="1" x14ac:dyDescent="0.3">
      <c r="A53" s="13" t="s">
        <v>18</v>
      </c>
      <c r="B53" s="2">
        <v>129853.81000000001</v>
      </c>
    </row>
    <row r="54" spans="1:2" ht="18.600000000000001" customHeight="1" x14ac:dyDescent="0.3">
      <c r="A54" s="13" t="s">
        <v>43</v>
      </c>
      <c r="B54" s="2">
        <v>0</v>
      </c>
    </row>
    <row r="55" spans="1:2" ht="18.600000000000001" customHeight="1" x14ac:dyDescent="0.3">
      <c r="A55" s="13" t="s">
        <v>53</v>
      </c>
      <c r="B55" s="2">
        <v>141922.97000000003</v>
      </c>
    </row>
    <row r="56" spans="1:2" ht="18.600000000000001" customHeight="1" x14ac:dyDescent="0.3">
      <c r="A56" s="13" t="s">
        <v>29</v>
      </c>
      <c r="B56" s="2">
        <v>129296.5</v>
      </c>
    </row>
    <row r="57" spans="1:2" ht="18.600000000000001" customHeight="1" x14ac:dyDescent="0.3">
      <c r="A57" s="13" t="s">
        <v>34</v>
      </c>
      <c r="B57" s="2">
        <v>119844.48000000001</v>
      </c>
    </row>
    <row r="58" spans="1:2" ht="18.600000000000001" customHeight="1" x14ac:dyDescent="0.3">
      <c r="A58" s="13" t="s">
        <v>11</v>
      </c>
      <c r="B58" s="2">
        <v>147130.5</v>
      </c>
    </row>
    <row r="59" spans="1:2" ht="18.600000000000001" customHeight="1" x14ac:dyDescent="0.3">
      <c r="A59" s="13" t="s">
        <v>41</v>
      </c>
      <c r="B59" s="2">
        <v>99870.399999999994</v>
      </c>
    </row>
    <row r="60" spans="1:2" ht="18.600000000000001" customHeight="1" x14ac:dyDescent="0.3">
      <c r="A60" s="13" t="s">
        <v>64</v>
      </c>
      <c r="B60" s="2">
        <v>105220.6</v>
      </c>
    </row>
    <row r="61" spans="1:2" ht="18.600000000000001" customHeight="1" x14ac:dyDescent="0.3">
      <c r="A61" s="13" t="s">
        <v>87</v>
      </c>
      <c r="B61" s="2">
        <v>101200</v>
      </c>
    </row>
    <row r="62" spans="1:2" ht="18.600000000000001" customHeight="1" x14ac:dyDescent="0.3">
      <c r="A62" s="13" t="s">
        <v>82</v>
      </c>
      <c r="B62" s="2">
        <v>89259.169999999984</v>
      </c>
    </row>
    <row r="63" spans="1:2" ht="18.600000000000001" customHeight="1" x14ac:dyDescent="0.3">
      <c r="A63" s="13" t="s">
        <v>76</v>
      </c>
      <c r="B63" s="2">
        <v>0</v>
      </c>
    </row>
    <row r="64" spans="1:2" ht="18.600000000000001" customHeight="1" x14ac:dyDescent="0.3">
      <c r="B64" s="7" t="s">
        <v>60</v>
      </c>
    </row>
    <row r="65" spans="2:2" ht="18.600000000000001" customHeight="1" x14ac:dyDescent="0.3">
      <c r="B65" s="7">
        <f>SUM(B2:B64)</f>
        <v>6564069.1100000003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A620-001D-4503-89EB-301362B0A77A}">
  <dimension ref="A1:D14"/>
  <sheetViews>
    <sheetView workbookViewId="0">
      <selection activeCell="H14" sqref="H14"/>
    </sheetView>
  </sheetViews>
  <sheetFormatPr baseColWidth="10" defaultRowHeight="14.4" x14ac:dyDescent="0.3"/>
  <cols>
    <col min="3" max="3" width="24.5546875" customWidth="1"/>
    <col min="4" max="4" width="16.21875" customWidth="1"/>
  </cols>
  <sheetData>
    <row r="1" spans="1:4" ht="17.399999999999999" x14ac:dyDescent="0.3">
      <c r="A1" s="28" t="s">
        <v>66</v>
      </c>
      <c r="B1" s="28"/>
      <c r="C1" s="28"/>
      <c r="D1" s="14"/>
    </row>
    <row r="2" spans="1:4" ht="15" x14ac:dyDescent="0.3">
      <c r="A2" s="29" t="s">
        <v>67</v>
      </c>
      <c r="B2" s="29"/>
      <c r="C2" s="29"/>
      <c r="D2" s="15" t="s">
        <v>68</v>
      </c>
    </row>
    <row r="3" spans="1:4" ht="15" x14ac:dyDescent="0.3">
      <c r="A3" s="27" t="s">
        <v>43</v>
      </c>
      <c r="B3" s="27"/>
      <c r="C3" s="27"/>
      <c r="D3" s="16">
        <v>321012</v>
      </c>
    </row>
    <row r="4" spans="1:4" ht="15" x14ac:dyDescent="0.3">
      <c r="A4" s="27" t="s">
        <v>69</v>
      </c>
      <c r="B4" s="27"/>
      <c r="C4" s="27"/>
      <c r="D4" s="16">
        <v>432474.5</v>
      </c>
    </row>
    <row r="5" spans="1:4" ht="15" x14ac:dyDescent="0.3">
      <c r="A5" s="27" t="s">
        <v>70</v>
      </c>
      <c r="B5" s="27"/>
      <c r="C5" s="27"/>
      <c r="D5" s="16">
        <v>543019.68999999994</v>
      </c>
    </row>
    <row r="6" spans="1:4" ht="15" x14ac:dyDescent="0.3">
      <c r="A6" s="27" t="s">
        <v>48</v>
      </c>
      <c r="B6" s="27"/>
      <c r="C6" s="27"/>
      <c r="D6" s="16">
        <v>292095</v>
      </c>
    </row>
    <row r="7" spans="1:4" ht="15" x14ac:dyDescent="0.3">
      <c r="A7" s="27" t="s">
        <v>71</v>
      </c>
      <c r="B7" s="27"/>
      <c r="C7" s="27"/>
      <c r="D7" s="16">
        <v>178340</v>
      </c>
    </row>
    <row r="8" spans="1:4" ht="15" x14ac:dyDescent="0.3">
      <c r="A8" s="27" t="s">
        <v>72</v>
      </c>
      <c r="B8" s="27"/>
      <c r="C8" s="27"/>
      <c r="D8" s="16">
        <v>228000</v>
      </c>
    </row>
    <row r="9" spans="1:4" ht="15" x14ac:dyDescent="0.3">
      <c r="A9" s="27" t="s">
        <v>49</v>
      </c>
      <c r="B9" s="27"/>
      <c r="C9" s="27"/>
      <c r="D9" s="16">
        <v>401265</v>
      </c>
    </row>
    <row r="10" spans="1:4" ht="15" x14ac:dyDescent="0.3">
      <c r="A10" s="27" t="s">
        <v>73</v>
      </c>
      <c r="B10" s="27"/>
      <c r="C10" s="27"/>
      <c r="D10" s="16">
        <v>535020</v>
      </c>
    </row>
    <row r="11" spans="1:4" ht="15" x14ac:dyDescent="0.3">
      <c r="A11" s="27" t="s">
        <v>74</v>
      </c>
      <c r="B11" s="27"/>
      <c r="C11" s="27"/>
      <c r="D11" s="16">
        <v>299432.26</v>
      </c>
    </row>
    <row r="12" spans="1:4" ht="15" x14ac:dyDescent="0.3">
      <c r="A12" s="27" t="s">
        <v>75</v>
      </c>
      <c r="B12" s="27"/>
      <c r="C12" s="27"/>
      <c r="D12" s="16">
        <v>378972.5</v>
      </c>
    </row>
    <row r="13" spans="1:4" ht="15" x14ac:dyDescent="0.3">
      <c r="A13" s="27" t="s">
        <v>76</v>
      </c>
      <c r="B13" s="27"/>
      <c r="C13" s="27"/>
      <c r="D13" s="16">
        <v>156047.5</v>
      </c>
    </row>
    <row r="14" spans="1:4" ht="15" x14ac:dyDescent="0.3">
      <c r="A14" s="27" t="s">
        <v>77</v>
      </c>
      <c r="B14" s="27"/>
      <c r="C14" s="27"/>
      <c r="D14" s="16">
        <v>3765678.45</v>
      </c>
    </row>
  </sheetData>
  <mergeCells count="14">
    <mergeCell ref="A6:C6"/>
    <mergeCell ref="A1:C1"/>
    <mergeCell ref="A2:C2"/>
    <mergeCell ref="A3:C3"/>
    <mergeCell ref="A4:C4"/>
    <mergeCell ref="A5:C5"/>
    <mergeCell ref="A13:C13"/>
    <mergeCell ref="A14:C14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F4D5-8806-442E-B1B9-B6410E4E5578}">
  <dimension ref="A1:B14"/>
  <sheetViews>
    <sheetView workbookViewId="0">
      <selection activeCell="D15" sqref="D15"/>
    </sheetView>
  </sheetViews>
  <sheetFormatPr baseColWidth="10" defaultRowHeight="16.2" customHeight="1" x14ac:dyDescent="0.3"/>
  <cols>
    <col min="1" max="1" width="49.33203125" bestFit="1" customWidth="1"/>
    <col min="2" max="2" width="17.5546875" customWidth="1"/>
  </cols>
  <sheetData>
    <row r="1" spans="1:2" ht="16.2" customHeight="1" x14ac:dyDescent="0.3">
      <c r="A1" s="22" t="s">
        <v>83</v>
      </c>
      <c r="B1" s="22" t="s">
        <v>84</v>
      </c>
    </row>
    <row r="2" spans="1:2" ht="16.2" customHeight="1" x14ac:dyDescent="0.3">
      <c r="A2" s="23" t="s">
        <v>67</v>
      </c>
      <c r="B2" s="24"/>
    </row>
    <row r="3" spans="1:2" ht="16.2" customHeight="1" x14ac:dyDescent="0.3">
      <c r="A3" s="13" t="s">
        <v>43</v>
      </c>
      <c r="B3" s="25">
        <v>356680</v>
      </c>
    </row>
    <row r="4" spans="1:2" ht="16.2" customHeight="1" x14ac:dyDescent="0.3">
      <c r="A4" s="13" t="s">
        <v>69</v>
      </c>
      <c r="B4" s="25">
        <v>427674.5</v>
      </c>
    </row>
    <row r="5" spans="1:2" ht="16.2" customHeight="1" x14ac:dyDescent="0.3">
      <c r="A5" s="13" t="s">
        <v>70</v>
      </c>
      <c r="B5" s="25">
        <v>549019.68999999994</v>
      </c>
    </row>
    <row r="6" spans="1:2" ht="16.2" customHeight="1" x14ac:dyDescent="0.3">
      <c r="A6" s="13" t="s">
        <v>48</v>
      </c>
      <c r="B6" s="25">
        <v>312095</v>
      </c>
    </row>
    <row r="7" spans="1:2" ht="16.2" customHeight="1" x14ac:dyDescent="0.3">
      <c r="A7" s="13" t="s">
        <v>71</v>
      </c>
      <c r="B7" s="25">
        <v>178340</v>
      </c>
    </row>
    <row r="8" spans="1:2" ht="16.2" customHeight="1" x14ac:dyDescent="0.3">
      <c r="A8" s="13" t="s">
        <v>72</v>
      </c>
      <c r="B8" s="25">
        <v>182000</v>
      </c>
    </row>
    <row r="9" spans="1:2" ht="16.2" customHeight="1" x14ac:dyDescent="0.3">
      <c r="A9" s="13" t="s">
        <v>49</v>
      </c>
      <c r="B9" s="25">
        <v>401265</v>
      </c>
    </row>
    <row r="10" spans="1:2" ht="16.2" customHeight="1" x14ac:dyDescent="0.3">
      <c r="A10" s="13" t="s">
        <v>73</v>
      </c>
      <c r="B10" s="25">
        <v>507220</v>
      </c>
    </row>
    <row r="11" spans="1:2" ht="16.2" customHeight="1" x14ac:dyDescent="0.3">
      <c r="A11" s="13" t="s">
        <v>74</v>
      </c>
      <c r="B11" s="25">
        <v>299432.26</v>
      </c>
    </row>
    <row r="12" spans="1:2" ht="16.2" customHeight="1" x14ac:dyDescent="0.3">
      <c r="A12" s="13" t="s">
        <v>75</v>
      </c>
      <c r="B12" s="25">
        <v>378972.5</v>
      </c>
    </row>
    <row r="13" spans="1:2" ht="16.2" customHeight="1" x14ac:dyDescent="0.3">
      <c r="A13" s="13" t="s">
        <v>76</v>
      </c>
      <c r="B13" s="25">
        <v>156047.5</v>
      </c>
    </row>
    <row r="14" spans="1:2" ht="16.2" customHeight="1" x14ac:dyDescent="0.3">
      <c r="A14" s="13" t="s">
        <v>85</v>
      </c>
      <c r="B14" s="26">
        <v>3748746.45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4BA5C-12F7-4102-823F-A3D94657C7B2}">
  <dimension ref="A1:B6"/>
  <sheetViews>
    <sheetView workbookViewId="0">
      <selection activeCell="C17" sqref="C17"/>
    </sheetView>
  </sheetViews>
  <sheetFormatPr baseColWidth="10" defaultRowHeight="14.4" x14ac:dyDescent="0.3"/>
  <cols>
    <col min="1" max="1" width="54" customWidth="1"/>
    <col min="2" max="2" width="14.44140625" bestFit="1" customWidth="1"/>
  </cols>
  <sheetData>
    <row r="1" spans="1:2" ht="19.2" customHeight="1" x14ac:dyDescent="0.3">
      <c r="A1" s="19" t="s">
        <v>80</v>
      </c>
      <c r="B1" s="20" t="s">
        <v>81</v>
      </c>
    </row>
    <row r="2" spans="1:2" ht="19.2" customHeight="1" x14ac:dyDescent="0.3">
      <c r="A2" s="6" t="s">
        <v>2</v>
      </c>
      <c r="B2" s="2">
        <v>37094.720000000001</v>
      </c>
    </row>
    <row r="3" spans="1:2" ht="19.2" customHeight="1" x14ac:dyDescent="0.3">
      <c r="A3" s="6" t="s">
        <v>15</v>
      </c>
      <c r="B3" s="2">
        <v>42801.599999999999</v>
      </c>
    </row>
    <row r="4" spans="1:2" ht="19.2" customHeight="1" x14ac:dyDescent="0.3">
      <c r="A4" s="6" t="s">
        <v>30</v>
      </c>
      <c r="B4" s="2">
        <v>85603.199999999997</v>
      </c>
    </row>
    <row r="5" spans="1:2" ht="19.2" customHeight="1" x14ac:dyDescent="0.3">
      <c r="B5" s="7" t="s">
        <v>81</v>
      </c>
    </row>
    <row r="6" spans="1:2" ht="19.2" customHeight="1" x14ac:dyDescent="0.3">
      <c r="B6" s="7">
        <f>SUM(B2:B5)</f>
        <v>165499.52000000002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SEMANA 27 FEB-05 MARZO 2026</vt:lpstr>
      <vt:lpstr>SEMANA 06-12 MARZO 2026</vt:lpstr>
      <vt:lpstr>SEMANA 13-19 MARZO 2026</vt:lpstr>
      <vt:lpstr>SEMANA 20-26 MARZO 2026</vt:lpstr>
      <vt:lpstr>SEMANA 27-02 ABRIL 2026</vt:lpstr>
      <vt:lpstr>PLANILLA FIJA 01-15 MARZO 2026</vt:lpstr>
      <vt:lpstr>PLANILLA FIJA 16-31 MARZO 2026</vt:lpstr>
      <vt:lpstr>VACACIONES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Abner Carrillo</dc:creator>
  <cp:lastModifiedBy>Abner Carrillo</cp:lastModifiedBy>
  <dcterms:created xsi:type="dcterms:W3CDTF">2026-05-13T15:08:27Z</dcterms:created>
  <dcterms:modified xsi:type="dcterms:W3CDTF">2026-05-13T16:03:39Z</dcterms:modified>
</cp:coreProperties>
</file>