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0649a0e3bd09d9a/Documentos/"/>
    </mc:Choice>
  </mc:AlternateContent>
  <xr:revisionPtr revIDLastSave="0" documentId="14_{69CF80C8-BD29-434F-BF40-F49F3BA1667B}" xr6:coauthVersionLast="47" xr6:coauthVersionMax="47" xr10:uidLastSave="{00000000-0000-0000-0000-000000000000}"/>
  <bookViews>
    <workbookView xWindow="-108" yWindow="-108" windowWidth="23256" windowHeight="12456" tabRatio="825" xr2:uid="{00000000-000D-0000-FFFF-FFFF00000000}"/>
  </bookViews>
  <sheets>
    <sheet name="SEMANA 03-09 ABRIL 2026" sheetId="1" r:id="rId1"/>
    <sheet name="SEMANA 10-16 ABRIL 2026" sheetId="5" r:id="rId2"/>
    <sheet name="SEMANA 17-23 ABRIL 2026" sheetId="6" r:id="rId3"/>
    <sheet name="SEMANA 24-30 ABRIL 2026" sheetId="7" r:id="rId4"/>
    <sheet name="PLANILLA FIJA 01-15 ABRIL 2026" sheetId="8" r:id="rId5"/>
    <sheet name="PLANILLA FIJA 16-30 ABRIL 2026" sheetId="9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8" l="1"/>
  <c r="B62" i="7"/>
  <c r="B63" i="6"/>
  <c r="B64" i="5"/>
  <c r="B64" i="1"/>
</calcChain>
</file>

<file path=xl/sharedStrings.xml><?xml version="1.0" encoding="utf-8"?>
<sst xmlns="http://schemas.openxmlformats.org/spreadsheetml/2006/main" count="282" uniqueCount="84">
  <si>
    <t>ALEJANDRO XAVIER SALAZAR CARVAJAL</t>
  </si>
  <si>
    <t>BRYAN ONIEL ZAMORA CRUZ</t>
  </si>
  <si>
    <t>BYRON ANTONIO ESPINOZA ALVARADO</t>
  </si>
  <si>
    <t>CARLOS VARGAS FERNANDEZ</t>
  </si>
  <si>
    <t>CARMEN ISABEL MUÑOZ ESPINOZA</t>
  </si>
  <si>
    <t>DARWIN TUGWELL FONSECA</t>
  </si>
  <si>
    <t>DIEGO ALEJANDRO LOPEZ ALVAREZ</t>
  </si>
  <si>
    <t>EDER JESUS ROJAS HERNANDEZ</t>
  </si>
  <si>
    <t>ELIZABETH SABALLO MAYORGA</t>
  </si>
  <si>
    <t>ERICK ANTONIO CISNE SILVA</t>
  </si>
  <si>
    <t>ESMERALDA DAYANA LOPEZ MATARRITA</t>
  </si>
  <si>
    <t>FRANKLIN ALI MENDOZA</t>
  </si>
  <si>
    <t>GRACIELA GARCIA CASTILLO</t>
  </si>
  <si>
    <t>ISABEL CRISTINA PRENDAS HERNANDEZ</t>
  </si>
  <si>
    <t>JAIRO ZUÑIGA PEREZ</t>
  </si>
  <si>
    <t>JENNY ISABEL MUÑOZ  ESPINOZA</t>
  </si>
  <si>
    <t>JERRY SERRANO CASTRO</t>
  </si>
  <si>
    <t>JOHANNA MARBETH PARRA REYES</t>
  </si>
  <si>
    <t>JORDAN ENRIQUE JIMENEZ GONZALES</t>
  </si>
  <si>
    <t>JORGE JOSE SILVA ESPINOZA</t>
  </si>
  <si>
    <t>JULIA MARIA ARRIETA EDUARTE</t>
  </si>
  <si>
    <t>KEISY DANIELA RUIZ RUIZ</t>
  </si>
  <si>
    <t>KIMBERLEEN PAOLA MOLINA SOTO</t>
  </si>
  <si>
    <t>LINDA LORENA GUEVARA TORRES</t>
  </si>
  <si>
    <t>MARCO GERVASINI MARTINEZ</t>
  </si>
  <si>
    <t>MARIA NELA HERNANDEZ GUTIERREZ</t>
  </si>
  <si>
    <t>MARIA TERESA SABALLO MAYORGA</t>
  </si>
  <si>
    <t>MARISELA DEL CARMEN MENDOZA CALERO</t>
  </si>
  <si>
    <t>NIELSI SELENE NAVARRETE GOMEZ</t>
  </si>
  <si>
    <t>RONALD OLIVIER CRUZ NOINDICAOTRO</t>
  </si>
  <si>
    <t>ROSAURA CASTILLO ALVARADO</t>
  </si>
  <si>
    <t>VERONICA MEJIA GONZALES</t>
  </si>
  <si>
    <t>ZULEYMA RUIZ CAMPOS</t>
  </si>
  <si>
    <t>SALARIO</t>
  </si>
  <si>
    <t>ADRIANA MACIEL CRUZ CRUZ</t>
  </si>
  <si>
    <t>CARLOS CABRERA VEGA</t>
  </si>
  <si>
    <t>CHEIRY NICOLE PEREZ PEREZ</t>
  </si>
  <si>
    <t>DARIN TUGWELL RODRIGUEZ</t>
  </si>
  <si>
    <t>GABRIELA HERRERA MONTIEL</t>
  </si>
  <si>
    <t>GRISELL DAYANNA LOPEZ ALVAREZ</t>
  </si>
  <si>
    <t>JUAN RAMON CASTILLO ALVARADO</t>
  </si>
  <si>
    <t>MEYLING URBINA MARTINEZ</t>
  </si>
  <si>
    <t>RAUL RODRIGUEZ MONTIEL</t>
  </si>
  <si>
    <t>SILVIA PILAR RODRIGUEZ MATARRITA</t>
  </si>
  <si>
    <t>YORDANY DIAZ MATARRITA</t>
  </si>
  <si>
    <t>YEFERSON JESUA RIVERA GUEVARA</t>
  </si>
  <si>
    <t>SOFIA NATALIA CAMPOS BRENEZ</t>
  </si>
  <si>
    <t>MOISES DORMUZ CASTILLO</t>
  </si>
  <si>
    <t>MEYLING DE LOS ANGELES PINEDA PALACIOS</t>
  </si>
  <si>
    <t>MARIO ALBERTO CAMPOS CASTILLO</t>
  </si>
  <si>
    <t>LUIS ALEJANDRO ARCE ALFARO</t>
  </si>
  <si>
    <t>LEINER RODRIGUEZ VILLALOBOS</t>
  </si>
  <si>
    <t>JOSE VARGAS PRUEBA</t>
  </si>
  <si>
    <t>JOSE ALEJANDRO JUAREZ TREMINIO</t>
  </si>
  <si>
    <t>JOHN FREISER LOPEZ JIMENEZ</t>
  </si>
  <si>
    <t>GEORGE DANIEL LOPEZ GOMEZ</t>
  </si>
  <si>
    <t>EVELYN UGALDE RODRIGUEZ</t>
  </si>
  <si>
    <t>AURORA MARIA PRENDAS HERNANDEZ</t>
  </si>
  <si>
    <t>ANTHONY WRIGHT JIMENEZ</t>
  </si>
  <si>
    <t>ANDRES TROCONIS ROMERO</t>
  </si>
  <si>
    <t>ALVARO LUIS PIÑAR JIMENEZ</t>
  </si>
  <si>
    <t>ELVIN JAVIER LOPEZ LOPEZ</t>
  </si>
  <si>
    <t>JASSON ESPINOZA MUÑOZ</t>
  </si>
  <si>
    <t>MIGUEL PILA TEMPORAL</t>
  </si>
  <si>
    <t>SALARIOS MERAKI SEM 03-09 ABRIL 2026</t>
  </si>
  <si>
    <t>TOTAL</t>
  </si>
  <si>
    <t>SALARIOS MERAKI SEM 10-16 ABRIL 2026</t>
  </si>
  <si>
    <t>JOSE HUMBERTO VARGAS CALDERON</t>
  </si>
  <si>
    <t>SALARIOS MERAKI SEM 17-23 ABRIL 2026</t>
  </si>
  <si>
    <t>SALARIOS MERAKI SEMANA 24-30 ABRIL 2026</t>
  </si>
  <si>
    <t>SALARIOS FIJOS 01-15 ABRIL 2026</t>
  </si>
  <si>
    <t>Desc. empleado</t>
  </si>
  <si>
    <t>Monto a pagar</t>
  </si>
  <si>
    <t>ABNER CARRILLO RANGEL</t>
  </si>
  <si>
    <t>DANIEL ARTURO BLANCO PALACIOS</t>
  </si>
  <si>
    <t>INGRID MEJIAS ANGULO</t>
  </si>
  <si>
    <t>INGRID MEJIAS ANGULO out</t>
  </si>
  <si>
    <t>MARYON PERI</t>
  </si>
  <si>
    <t>PABLO ALEJANDRO ROMERO MONTIEL</t>
  </si>
  <si>
    <t>SILVIA ELENA DUARTE VEGA</t>
  </si>
  <si>
    <t>Total general</t>
  </si>
  <si>
    <t>SALARIOS FIJOS 15-30 ABRIL 2026</t>
  </si>
  <si>
    <t>MONTO A PAGAR</t>
  </si>
  <si>
    <t>Total COLONES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</si>
</sst>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₡&quot;#,##0"/>
  </numFmts>
  <fonts count="15" x14ac:knownFonts="1">
    <font>
      <sz val="11"/>
      <color rgb="FF000000"/>
      <name val="Calibri"/>
    </font>
    <font>
      <sz val="11"/>
      <color rgb="FF000000"/>
      <name val="Arial"/>
      <family val="2"/>
    </font>
    <font>
      <sz val="11"/>
      <color rgb="FF323232"/>
      <name val="Arial"/>
      <family val="2"/>
    </font>
    <font>
      <b/>
      <sz val="11"/>
      <color rgb="FF000000"/>
      <name val="Arial"/>
      <family val="2"/>
    </font>
    <font>
      <b/>
      <sz val="12"/>
      <color rgb="FF323232"/>
      <name val="Arial"/>
      <family val="2"/>
    </font>
    <font>
      <b/>
      <sz val="12"/>
      <color rgb="FF000000"/>
      <name val="Arial"/>
      <family val="2"/>
    </font>
    <font>
      <b/>
      <sz val="12"/>
      <color rgb="FF000000"/>
      <name val="Calibri"/>
      <family val="2"/>
    </font>
    <font>
      <sz val="11"/>
      <color rgb="FFFF0000"/>
      <name val="Arial"/>
      <family val="2"/>
    </font>
    <font>
      <b/>
      <sz val="11"/>
      <color rgb="FF323232"/>
      <name val="Arial"/>
      <family val="2"/>
    </font>
    <font>
      <b/>
      <sz val="11"/>
      <color rgb="FF000000"/>
      <name val="Calibri"/>
      <family val="2"/>
    </font>
    <font>
      <sz val="12"/>
      <color rgb="FF323232"/>
      <name val="Arial"/>
      <family val="2"/>
    </font>
    <font>
      <sz val="12"/>
      <color rgb="FF000000"/>
      <name val="Arial"/>
      <family val="2"/>
    </font>
    <font>
      <b/>
      <sz val="14"/>
      <color rgb="FF000000"/>
      <name val="Arial"/>
      <family val="2"/>
    </font>
    <font>
      <b/>
      <sz val="16"/>
      <color rgb="FF323232"/>
      <name val="Arial"/>
      <family val="2"/>
    </font>
    <font>
      <b/>
      <sz val="16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</patternFill>
    </fill>
    <fill>
      <patternFill patternType="solid">
        <fgColor rgb="FFFFF7EC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left" vertical="top" wrapText="1"/>
    </xf>
    <xf numFmtId="164" fontId="5" fillId="4" borderId="1" xfId="0" applyNumberFormat="1" applyFont="1" applyFill="1" applyBorder="1" applyAlignment="1">
      <alignment horizontal="center"/>
    </xf>
    <xf numFmtId="0" fontId="6" fillId="0" borderId="0" xfId="0" applyFont="1"/>
    <xf numFmtId="164" fontId="3" fillId="0" borderId="1" xfId="0" applyNumberFormat="1" applyFont="1" applyBorder="1" applyAlignment="1">
      <alignment horizontal="center"/>
    </xf>
    <xf numFmtId="164" fontId="7" fillId="0" borderId="1" xfId="0" applyNumberFormat="1" applyFont="1" applyBorder="1" applyAlignment="1">
      <alignment horizontal="center"/>
    </xf>
    <xf numFmtId="0" fontId="4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7" fillId="3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8" fillId="3" borderId="1" xfId="0" applyFont="1" applyFill="1" applyBorder="1" applyAlignment="1">
      <alignment horizontal="left" vertical="center" wrapText="1"/>
    </xf>
    <xf numFmtId="164" fontId="9" fillId="0" borderId="1" xfId="0" applyNumberFormat="1" applyFont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 vertical="top" wrapText="1"/>
    </xf>
    <xf numFmtId="164" fontId="11" fillId="4" borderId="1" xfId="0" applyNumberFormat="1" applyFont="1" applyFill="1" applyBorder="1" applyAlignment="1">
      <alignment horizontal="center"/>
    </xf>
    <xf numFmtId="164" fontId="12" fillId="0" borderId="1" xfId="0" applyNumberFormat="1" applyFont="1" applyBorder="1" applyAlignment="1">
      <alignment horizontal="center"/>
    </xf>
    <xf numFmtId="0" fontId="2" fillId="5" borderId="1" xfId="0" applyFont="1" applyFill="1" applyBorder="1" applyAlignment="1">
      <alignment horizontal="center" vertical="top" wrapText="1"/>
    </xf>
    <xf numFmtId="164" fontId="1" fillId="5" borderId="1" xfId="0" applyNumberFormat="1" applyFont="1" applyFill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0" fillId="3" borderId="4" xfId="0" applyFont="1" applyFill="1" applyBorder="1" applyAlignment="1">
      <alignment horizontal="left" vertical="center" wrapText="1"/>
    </xf>
    <xf numFmtId="164" fontId="10" fillId="3" borderId="4" xfId="0" applyNumberFormat="1" applyFont="1" applyFill="1" applyBorder="1" applyAlignment="1">
      <alignment horizontal="center" vertical="top" wrapText="1"/>
    </xf>
    <xf numFmtId="0" fontId="10" fillId="3" borderId="4" xfId="0" applyFont="1" applyFill="1" applyBorder="1" applyAlignment="1">
      <alignment horizontal="left" vertical="top" wrapText="1"/>
    </xf>
    <xf numFmtId="164" fontId="11" fillId="6" borderId="4" xfId="0" applyNumberFormat="1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left" vertical="top" wrapText="1"/>
    </xf>
    <xf numFmtId="0" fontId="10" fillId="3" borderId="6" xfId="0" applyFont="1" applyFill="1" applyBorder="1" applyAlignment="1">
      <alignment horizontal="left" vertical="top" wrapText="1"/>
    </xf>
    <xf numFmtId="0" fontId="10" fillId="3" borderId="7" xfId="0" applyFont="1" applyFill="1" applyBorder="1" applyAlignment="1">
      <alignment horizontal="left" vertical="top" wrapText="1"/>
    </xf>
    <xf numFmtId="164" fontId="11" fillId="6" borderId="8" xfId="0" applyNumberFormat="1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left" vertical="top" wrapText="1"/>
    </xf>
    <xf numFmtId="164" fontId="14" fillId="7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top" wrapText="1"/>
    </xf>
    <xf numFmtId="0" fontId="10" fillId="3" borderId="1" xfId="0" applyFont="1" applyFill="1" applyBorder="1" applyAlignment="1">
      <alignment horizontal="center" vertical="top" wrapText="1"/>
    </xf>
    <xf numFmtId="164" fontId="11" fillId="6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top" wrapText="1"/>
    </xf>
    <xf numFmtId="164" fontId="5" fillId="7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4"/>
  <sheetViews>
    <sheetView showGridLines="0" tabSelected="1" topLeftCell="A43" zoomScale="70" zoomScaleNormal="70" workbookViewId="0">
      <selection activeCell="H59" sqref="H59"/>
    </sheetView>
  </sheetViews>
  <sheetFormatPr baseColWidth="10" defaultRowHeight="21" customHeight="1" x14ac:dyDescent="0.3"/>
  <cols>
    <col min="1" max="1" width="66.109375" style="12" customWidth="1"/>
    <col min="2" max="2" width="12.44140625" style="1" bestFit="1" customWidth="1"/>
  </cols>
  <sheetData>
    <row r="1" spans="1:2" s="5" customFormat="1" ht="21" customHeight="1" x14ac:dyDescent="0.3">
      <c r="A1" s="8" t="s">
        <v>64</v>
      </c>
      <c r="B1" s="4" t="s">
        <v>33</v>
      </c>
    </row>
    <row r="2" spans="1:2" ht="21" customHeight="1" x14ac:dyDescent="0.3">
      <c r="A2" s="9" t="s">
        <v>0</v>
      </c>
      <c r="B2" s="2">
        <v>109857.43999999999</v>
      </c>
    </row>
    <row r="3" spans="1:2" ht="21" customHeight="1" x14ac:dyDescent="0.3">
      <c r="A3" s="9" t="s">
        <v>2</v>
      </c>
      <c r="B3" s="2">
        <v>129831.52</v>
      </c>
    </row>
    <row r="4" spans="1:2" ht="21" customHeight="1" x14ac:dyDescent="0.3">
      <c r="A4" s="9" t="s">
        <v>4</v>
      </c>
      <c r="B4" s="2">
        <v>118908.19000000006</v>
      </c>
    </row>
    <row r="5" spans="1:2" ht="21" customHeight="1" x14ac:dyDescent="0.3">
      <c r="A5" s="9" t="s">
        <v>6</v>
      </c>
      <c r="B5" s="2">
        <v>85424.859999999986</v>
      </c>
    </row>
    <row r="6" spans="1:2" ht="21" customHeight="1" x14ac:dyDescent="0.3">
      <c r="A6" s="9" t="s">
        <v>7</v>
      </c>
      <c r="B6" s="2">
        <v>70266.319999999949</v>
      </c>
    </row>
    <row r="7" spans="1:2" ht="21" customHeight="1" x14ac:dyDescent="0.3">
      <c r="A7" s="9" t="s">
        <v>8</v>
      </c>
      <c r="B7" s="2">
        <v>136786.78</v>
      </c>
    </row>
    <row r="8" spans="1:2" ht="21" customHeight="1" x14ac:dyDescent="0.3">
      <c r="A8" s="9" t="s">
        <v>10</v>
      </c>
      <c r="B8" s="2">
        <v>99870.400000000009</v>
      </c>
    </row>
    <row r="9" spans="1:2" ht="21" customHeight="1" x14ac:dyDescent="0.3">
      <c r="A9" s="9" t="s">
        <v>12</v>
      </c>
      <c r="B9" s="2">
        <v>109857.43999999999</v>
      </c>
    </row>
    <row r="10" spans="1:2" ht="21" customHeight="1" x14ac:dyDescent="0.3">
      <c r="A10" s="9" t="s">
        <v>13</v>
      </c>
      <c r="B10" s="2">
        <v>154799.12</v>
      </c>
    </row>
    <row r="11" spans="1:2" ht="21" customHeight="1" x14ac:dyDescent="0.3">
      <c r="A11" s="9" t="s">
        <v>14</v>
      </c>
      <c r="B11" s="2">
        <v>32492.949999999953</v>
      </c>
    </row>
    <row r="12" spans="1:2" ht="21" customHeight="1" x14ac:dyDescent="0.3">
      <c r="A12" s="9" t="s">
        <v>15</v>
      </c>
      <c r="B12" s="2">
        <v>149805.59999999998</v>
      </c>
    </row>
    <row r="13" spans="1:2" ht="21" customHeight="1" x14ac:dyDescent="0.3">
      <c r="A13" s="9" t="s">
        <v>16</v>
      </c>
      <c r="B13" s="2">
        <v>95768.579999999958</v>
      </c>
    </row>
    <row r="14" spans="1:2" ht="21" customHeight="1" x14ac:dyDescent="0.3">
      <c r="A14" s="9" t="s">
        <v>17</v>
      </c>
      <c r="B14" s="2">
        <v>65920.710000000021</v>
      </c>
    </row>
    <row r="15" spans="1:2" ht="21" customHeight="1" x14ac:dyDescent="0.3">
      <c r="A15" s="9" t="s">
        <v>19</v>
      </c>
      <c r="B15" s="2">
        <v>129799.12</v>
      </c>
    </row>
    <row r="16" spans="1:2" ht="21" customHeight="1" x14ac:dyDescent="0.3">
      <c r="A16" s="9" t="s">
        <v>20</v>
      </c>
      <c r="B16" s="2">
        <v>181906.79999999993</v>
      </c>
    </row>
    <row r="17" spans="1:2" ht="21" customHeight="1" x14ac:dyDescent="0.3">
      <c r="A17" s="9" t="s">
        <v>21</v>
      </c>
      <c r="B17" s="2">
        <v>58702.570000000065</v>
      </c>
    </row>
    <row r="18" spans="1:2" ht="21" customHeight="1" x14ac:dyDescent="0.3">
      <c r="A18" s="9" t="s">
        <v>22</v>
      </c>
      <c r="B18" s="2">
        <v>72623.260000000009</v>
      </c>
    </row>
    <row r="19" spans="1:2" ht="21" customHeight="1" x14ac:dyDescent="0.3">
      <c r="A19" s="9" t="s">
        <v>23</v>
      </c>
      <c r="B19" s="2">
        <v>134825.03999999998</v>
      </c>
    </row>
    <row r="20" spans="1:2" ht="21" customHeight="1" x14ac:dyDescent="0.3">
      <c r="A20" s="9" t="s">
        <v>25</v>
      </c>
      <c r="B20" s="2">
        <v>134825.03999999998</v>
      </c>
    </row>
    <row r="21" spans="1:2" ht="21" customHeight="1" x14ac:dyDescent="0.3">
      <c r="A21" s="9" t="s">
        <v>26</v>
      </c>
      <c r="B21" s="2">
        <v>110481.63</v>
      </c>
    </row>
    <row r="22" spans="1:2" ht="21" customHeight="1" x14ac:dyDescent="0.3">
      <c r="A22" s="9" t="s">
        <v>28</v>
      </c>
      <c r="B22" s="2">
        <v>79988.70000000007</v>
      </c>
    </row>
    <row r="23" spans="1:2" ht="21" customHeight="1" x14ac:dyDescent="0.3">
      <c r="A23" s="9" t="s">
        <v>30</v>
      </c>
      <c r="B23" s="2">
        <v>99870.400000000023</v>
      </c>
    </row>
    <row r="24" spans="1:2" ht="21" customHeight="1" x14ac:dyDescent="0.3">
      <c r="A24" s="9" t="s">
        <v>31</v>
      </c>
      <c r="B24" s="2">
        <v>72917.88</v>
      </c>
    </row>
    <row r="25" spans="1:2" ht="21" customHeight="1" x14ac:dyDescent="0.3">
      <c r="A25" s="10" t="s">
        <v>37</v>
      </c>
      <c r="B25" s="2">
        <v>149805.6</v>
      </c>
    </row>
    <row r="26" spans="1:2" ht="21" customHeight="1" x14ac:dyDescent="0.3">
      <c r="A26" s="10" t="s">
        <v>38</v>
      </c>
      <c r="B26" s="2">
        <v>140442.75</v>
      </c>
    </row>
    <row r="27" spans="1:2" ht="21" customHeight="1" x14ac:dyDescent="0.3">
      <c r="A27" s="10" t="s">
        <v>39</v>
      </c>
      <c r="B27" s="2">
        <v>124838.00000000001</v>
      </c>
    </row>
    <row r="28" spans="1:2" ht="21" customHeight="1" x14ac:dyDescent="0.3">
      <c r="A28" s="10" t="s">
        <v>40</v>
      </c>
      <c r="B28" s="2">
        <v>102545.49999999999</v>
      </c>
    </row>
    <row r="29" spans="1:2" ht="21" customHeight="1" x14ac:dyDescent="0.3">
      <c r="A29" s="10" t="s">
        <v>41</v>
      </c>
      <c r="B29" s="2">
        <v>124838</v>
      </c>
    </row>
    <row r="30" spans="1:2" ht="21" customHeight="1" x14ac:dyDescent="0.3">
      <c r="A30" s="10" t="s">
        <v>59</v>
      </c>
      <c r="B30" s="2">
        <v>84989.709999999963</v>
      </c>
    </row>
    <row r="31" spans="1:2" ht="21" customHeight="1" x14ac:dyDescent="0.3">
      <c r="A31" s="10" t="s">
        <v>57</v>
      </c>
      <c r="B31" s="2">
        <v>156311.79999999999</v>
      </c>
    </row>
    <row r="32" spans="1:2" ht="21" customHeight="1" x14ac:dyDescent="0.3">
      <c r="A32" s="10" t="s">
        <v>47</v>
      </c>
      <c r="B32" s="2">
        <v>96372.260000000009</v>
      </c>
    </row>
    <row r="33" spans="1:2" ht="21" customHeight="1" x14ac:dyDescent="0.3">
      <c r="A33" s="10" t="s">
        <v>45</v>
      </c>
      <c r="B33" s="2">
        <v>98648.770000000019</v>
      </c>
    </row>
    <row r="34" spans="1:2" ht="21" customHeight="1" x14ac:dyDescent="0.3">
      <c r="A34" s="10" t="s">
        <v>44</v>
      </c>
      <c r="B34" s="2">
        <v>110490.55000000005</v>
      </c>
    </row>
    <row r="35" spans="1:2" ht="21" customHeight="1" x14ac:dyDescent="0.3">
      <c r="A35" s="10" t="s">
        <v>61</v>
      </c>
      <c r="B35" s="2">
        <v>146448</v>
      </c>
    </row>
    <row r="36" spans="1:2" ht="21" customHeight="1" x14ac:dyDescent="0.3">
      <c r="A36" s="10" t="s">
        <v>62</v>
      </c>
      <c r="B36" s="2">
        <v>100418</v>
      </c>
    </row>
    <row r="37" spans="1:2" ht="21" customHeight="1" x14ac:dyDescent="0.3">
      <c r="A37" s="10" t="s">
        <v>49</v>
      </c>
      <c r="B37" s="2">
        <v>166636.44</v>
      </c>
    </row>
    <row r="38" spans="1:2" ht="21" customHeight="1" x14ac:dyDescent="0.3">
      <c r="A38" s="9" t="s">
        <v>24</v>
      </c>
      <c r="B38" s="2">
        <v>159792.64000000001</v>
      </c>
    </row>
    <row r="39" spans="1:2" ht="21" customHeight="1" x14ac:dyDescent="0.3">
      <c r="A39" s="10" t="s">
        <v>34</v>
      </c>
      <c r="B39" s="2">
        <v>122341.23999999999</v>
      </c>
    </row>
    <row r="40" spans="1:2" ht="21" customHeight="1" x14ac:dyDescent="0.3">
      <c r="A40" s="10" t="s">
        <v>35</v>
      </c>
      <c r="B40" s="2">
        <v>119844.48</v>
      </c>
    </row>
    <row r="41" spans="1:2" ht="21" customHeight="1" x14ac:dyDescent="0.3">
      <c r="A41" s="9" t="s">
        <v>1</v>
      </c>
      <c r="B41" s="2">
        <v>118596.1</v>
      </c>
    </row>
    <row r="42" spans="1:2" ht="21" customHeight="1" x14ac:dyDescent="0.3">
      <c r="A42" s="10" t="s">
        <v>43</v>
      </c>
      <c r="B42" s="2">
        <v>89170</v>
      </c>
    </row>
    <row r="43" spans="1:2" ht="21" customHeight="1" x14ac:dyDescent="0.3">
      <c r="A43" s="10" t="s">
        <v>50</v>
      </c>
      <c r="B43" s="2">
        <v>157770.26</v>
      </c>
    </row>
    <row r="44" spans="1:2" ht="21" customHeight="1" x14ac:dyDescent="0.3">
      <c r="A44" s="9" t="s">
        <v>5</v>
      </c>
      <c r="B44" s="2">
        <v>110214.12</v>
      </c>
    </row>
    <row r="45" spans="1:2" ht="21" customHeight="1" x14ac:dyDescent="0.3">
      <c r="A45" s="9" t="s">
        <v>27</v>
      </c>
      <c r="B45" s="2">
        <v>91399.25</v>
      </c>
    </row>
    <row r="46" spans="1:2" ht="21" customHeight="1" x14ac:dyDescent="0.3">
      <c r="A46" s="9" t="s">
        <v>9</v>
      </c>
      <c r="B46" s="2">
        <v>144812.08000000002</v>
      </c>
    </row>
    <row r="47" spans="1:2" ht="21" customHeight="1" x14ac:dyDescent="0.3">
      <c r="A47" s="10" t="s">
        <v>58</v>
      </c>
      <c r="B47" s="2">
        <v>107895.70000000007</v>
      </c>
    </row>
    <row r="48" spans="1:2" ht="21" customHeight="1" x14ac:dyDescent="0.3">
      <c r="A48" s="10" t="s">
        <v>51</v>
      </c>
      <c r="B48" s="2">
        <v>144901.25</v>
      </c>
    </row>
    <row r="49" spans="1:2" ht="21" customHeight="1" x14ac:dyDescent="0.3">
      <c r="A49" s="10" t="s">
        <v>36</v>
      </c>
      <c r="B49" s="2">
        <v>107895.7</v>
      </c>
    </row>
    <row r="50" spans="1:2" ht="21" customHeight="1" x14ac:dyDescent="0.3">
      <c r="A50" s="10" t="s">
        <v>56</v>
      </c>
      <c r="B50" s="2">
        <v>129296.5</v>
      </c>
    </row>
    <row r="51" spans="1:2" ht="21" customHeight="1" x14ac:dyDescent="0.3">
      <c r="A51" s="9" t="s">
        <v>18</v>
      </c>
      <c r="B51" s="2">
        <v>121494.12000000002</v>
      </c>
    </row>
    <row r="52" spans="1:2" ht="21" customHeight="1" x14ac:dyDescent="0.3">
      <c r="A52" s="10" t="s">
        <v>60</v>
      </c>
      <c r="B52" s="2">
        <v>0</v>
      </c>
    </row>
    <row r="53" spans="1:2" ht="21" customHeight="1" x14ac:dyDescent="0.3">
      <c r="A53" s="10" t="s">
        <v>48</v>
      </c>
      <c r="B53" s="2">
        <v>145079.59</v>
      </c>
    </row>
    <row r="54" spans="1:2" ht="21" customHeight="1" x14ac:dyDescent="0.3">
      <c r="A54" s="9" t="s">
        <v>29</v>
      </c>
      <c r="B54" s="2">
        <v>37808.080000000002</v>
      </c>
    </row>
    <row r="55" spans="1:2" ht="21" customHeight="1" x14ac:dyDescent="0.3">
      <c r="A55" s="9" t="s">
        <v>3</v>
      </c>
      <c r="B55" s="2">
        <v>70929.209999999963</v>
      </c>
    </row>
    <row r="56" spans="1:2" ht="21" customHeight="1" x14ac:dyDescent="0.3">
      <c r="A56" s="9" t="s">
        <v>11</v>
      </c>
      <c r="B56" s="2">
        <v>193944.75000000003</v>
      </c>
    </row>
    <row r="57" spans="1:2" ht="21" customHeight="1" x14ac:dyDescent="0.3">
      <c r="A57" s="10" t="s">
        <v>42</v>
      </c>
      <c r="B57" s="2">
        <v>109768.27</v>
      </c>
    </row>
    <row r="58" spans="1:2" ht="21" customHeight="1" x14ac:dyDescent="0.3">
      <c r="A58" s="10" t="s">
        <v>53</v>
      </c>
      <c r="B58" s="2">
        <v>99870.39999999998</v>
      </c>
    </row>
    <row r="59" spans="1:2" ht="21" customHeight="1" x14ac:dyDescent="0.3">
      <c r="A59" s="9" t="s">
        <v>32</v>
      </c>
      <c r="B59" s="2">
        <v>99870.399999999994</v>
      </c>
    </row>
    <row r="60" spans="1:2" ht="21" customHeight="1" x14ac:dyDescent="0.3">
      <c r="A60" s="10" t="s">
        <v>52</v>
      </c>
      <c r="B60" s="2">
        <v>114850.96</v>
      </c>
    </row>
    <row r="61" spans="1:2" ht="21" customHeight="1" x14ac:dyDescent="0.3">
      <c r="A61" s="10" t="s">
        <v>46</v>
      </c>
      <c r="B61" s="2">
        <v>0</v>
      </c>
    </row>
    <row r="62" spans="1:2" ht="21" customHeight="1" x14ac:dyDescent="0.3">
      <c r="A62" s="11" t="s">
        <v>63</v>
      </c>
      <c r="B62" s="7">
        <v>42801.600000000006</v>
      </c>
    </row>
    <row r="63" spans="1:2" ht="21" customHeight="1" x14ac:dyDescent="0.3">
      <c r="B63" s="2" t="s">
        <v>65</v>
      </c>
    </row>
    <row r="64" spans="1:2" ht="21" customHeight="1" x14ac:dyDescent="0.3">
      <c r="B64" s="2">
        <f>SUM(B2:B63)</f>
        <v>6678662.4300000006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D3CD8-3F19-4A3D-95E7-A33475AF7880}">
  <dimension ref="A1:B64"/>
  <sheetViews>
    <sheetView topLeftCell="A46" workbookViewId="0">
      <selection activeCell="C57" sqref="C57"/>
    </sheetView>
  </sheetViews>
  <sheetFormatPr baseColWidth="10" defaultRowHeight="15" customHeight="1" x14ac:dyDescent="0.3"/>
  <cols>
    <col min="1" max="1" width="55.21875" customWidth="1"/>
  </cols>
  <sheetData>
    <row r="1" spans="1:2" ht="15" customHeight="1" x14ac:dyDescent="0.3">
      <c r="A1" s="13" t="s">
        <v>66</v>
      </c>
      <c r="B1" s="6" t="s">
        <v>33</v>
      </c>
    </row>
    <row r="2" spans="1:2" ht="15" customHeight="1" x14ac:dyDescent="0.3">
      <c r="A2" s="3" t="s">
        <v>0</v>
      </c>
      <c r="B2" s="2">
        <v>113829.95999999999</v>
      </c>
    </row>
    <row r="3" spans="1:2" ht="15" customHeight="1" x14ac:dyDescent="0.3">
      <c r="A3" s="3" t="s">
        <v>2</v>
      </c>
      <c r="B3" s="2">
        <v>120441.92</v>
      </c>
    </row>
    <row r="4" spans="1:2" ht="15" customHeight="1" x14ac:dyDescent="0.3">
      <c r="A4" s="3" t="s">
        <v>4</v>
      </c>
      <c r="B4" s="2">
        <v>60203.130000000005</v>
      </c>
    </row>
    <row r="5" spans="1:2" ht="15" customHeight="1" x14ac:dyDescent="0.3">
      <c r="A5" s="3" t="s">
        <v>6</v>
      </c>
      <c r="B5" s="2">
        <v>88278.299999999988</v>
      </c>
    </row>
    <row r="6" spans="1:2" ht="15" customHeight="1" x14ac:dyDescent="0.3">
      <c r="A6" s="3" t="s">
        <v>7</v>
      </c>
      <c r="B6" s="2">
        <v>51189.819999999949</v>
      </c>
    </row>
    <row r="7" spans="1:2" ht="15" customHeight="1" x14ac:dyDescent="0.3">
      <c r="A7" s="3" t="s">
        <v>8</v>
      </c>
      <c r="B7" s="2">
        <v>129831.51999999999</v>
      </c>
    </row>
    <row r="8" spans="1:2" ht="15" customHeight="1" x14ac:dyDescent="0.3">
      <c r="A8" s="3" t="s">
        <v>10</v>
      </c>
      <c r="B8" s="2">
        <v>96660.28</v>
      </c>
    </row>
    <row r="9" spans="1:2" ht="15" customHeight="1" x14ac:dyDescent="0.3">
      <c r="A9" s="3" t="s">
        <v>12</v>
      </c>
      <c r="B9" s="2">
        <v>105247.34999999999</v>
      </c>
    </row>
    <row r="10" spans="1:2" ht="15" customHeight="1" x14ac:dyDescent="0.3">
      <c r="A10" s="3" t="s">
        <v>13</v>
      </c>
      <c r="B10" s="2">
        <v>154799.12000000005</v>
      </c>
    </row>
    <row r="11" spans="1:2" ht="15" customHeight="1" x14ac:dyDescent="0.3">
      <c r="A11" s="3" t="s">
        <v>14</v>
      </c>
      <c r="B11" s="2">
        <v>27852.719999999972</v>
      </c>
    </row>
    <row r="12" spans="1:2" ht="15" customHeight="1" x14ac:dyDescent="0.3">
      <c r="A12" s="3" t="s">
        <v>15</v>
      </c>
      <c r="B12" s="2">
        <v>147130.5</v>
      </c>
    </row>
    <row r="13" spans="1:2" ht="15" customHeight="1" x14ac:dyDescent="0.3">
      <c r="A13" s="3" t="s">
        <v>16</v>
      </c>
      <c r="B13" s="2">
        <v>52726.22000000003</v>
      </c>
    </row>
    <row r="14" spans="1:2" ht="15" customHeight="1" x14ac:dyDescent="0.3">
      <c r="A14" s="3" t="s">
        <v>17</v>
      </c>
      <c r="B14" s="2">
        <v>43161.489999999991</v>
      </c>
    </row>
    <row r="15" spans="1:2" ht="15" customHeight="1" x14ac:dyDescent="0.3">
      <c r="A15" s="3" t="s">
        <v>19</v>
      </c>
      <c r="B15" s="2">
        <v>124823.43</v>
      </c>
    </row>
    <row r="16" spans="1:2" ht="15" customHeight="1" x14ac:dyDescent="0.3">
      <c r="A16" s="3" t="s">
        <v>20</v>
      </c>
      <c r="B16" s="2">
        <v>156426.47000000003</v>
      </c>
    </row>
    <row r="17" spans="1:2" ht="15" customHeight="1" x14ac:dyDescent="0.3">
      <c r="A17" s="3" t="s">
        <v>21</v>
      </c>
      <c r="B17" s="2">
        <v>60102.009999999951</v>
      </c>
    </row>
    <row r="18" spans="1:2" ht="15" customHeight="1" x14ac:dyDescent="0.3">
      <c r="A18" s="3" t="s">
        <v>22</v>
      </c>
      <c r="B18" s="2">
        <v>61501.440000000002</v>
      </c>
    </row>
    <row r="19" spans="1:2" ht="15" customHeight="1" x14ac:dyDescent="0.3">
      <c r="A19" s="3" t="s">
        <v>23</v>
      </c>
      <c r="B19" s="2">
        <v>125194.68000000001</v>
      </c>
    </row>
    <row r="20" spans="1:2" ht="15" customHeight="1" x14ac:dyDescent="0.3">
      <c r="A20" s="3" t="s">
        <v>25</v>
      </c>
      <c r="B20" s="2">
        <v>134825.04</v>
      </c>
    </row>
    <row r="21" spans="1:2" ht="15" customHeight="1" x14ac:dyDescent="0.3">
      <c r="A21" s="3" t="s">
        <v>26</v>
      </c>
      <c r="B21" s="2">
        <v>107672.76999999999</v>
      </c>
    </row>
    <row r="22" spans="1:2" ht="15" customHeight="1" x14ac:dyDescent="0.3">
      <c r="A22" s="3" t="s">
        <v>28</v>
      </c>
      <c r="B22" s="2">
        <v>52073.669999999984</v>
      </c>
    </row>
    <row r="23" spans="1:2" ht="15" customHeight="1" x14ac:dyDescent="0.3">
      <c r="A23" s="3" t="s">
        <v>30</v>
      </c>
      <c r="B23" s="2">
        <v>96749.45000000007</v>
      </c>
    </row>
    <row r="24" spans="1:2" ht="15" customHeight="1" x14ac:dyDescent="0.3">
      <c r="A24" s="3" t="s">
        <v>31</v>
      </c>
      <c r="B24" s="2">
        <v>63637.419999999984</v>
      </c>
    </row>
    <row r="25" spans="1:2" ht="15" customHeight="1" x14ac:dyDescent="0.3">
      <c r="A25" s="3" t="s">
        <v>37</v>
      </c>
      <c r="B25" s="2">
        <v>149805.6</v>
      </c>
    </row>
    <row r="26" spans="1:2" ht="15" customHeight="1" x14ac:dyDescent="0.3">
      <c r="A26" s="3" t="s">
        <v>38</v>
      </c>
      <c r="B26" s="2">
        <v>149805.6</v>
      </c>
    </row>
    <row r="27" spans="1:2" ht="15" customHeight="1" x14ac:dyDescent="0.3">
      <c r="A27" s="3" t="s">
        <v>39</v>
      </c>
      <c r="B27" s="2">
        <v>140052.63</v>
      </c>
    </row>
    <row r="28" spans="1:2" ht="15" customHeight="1" x14ac:dyDescent="0.3">
      <c r="A28" s="3" t="s">
        <v>40</v>
      </c>
      <c r="B28" s="2">
        <v>103263.32</v>
      </c>
    </row>
    <row r="29" spans="1:2" ht="15" customHeight="1" x14ac:dyDescent="0.3">
      <c r="A29" s="3" t="s">
        <v>41</v>
      </c>
      <c r="B29" s="2">
        <v>108453.01000000001</v>
      </c>
    </row>
    <row r="30" spans="1:2" ht="15" customHeight="1" x14ac:dyDescent="0.3">
      <c r="A30" s="3" t="s">
        <v>59</v>
      </c>
      <c r="B30" s="2">
        <v>79161.840000000026</v>
      </c>
    </row>
    <row r="31" spans="1:2" ht="15" customHeight="1" x14ac:dyDescent="0.3">
      <c r="A31" s="3" t="s">
        <v>57</v>
      </c>
      <c r="B31" s="2">
        <v>124799.12000000001</v>
      </c>
    </row>
    <row r="32" spans="1:2" ht="15" customHeight="1" x14ac:dyDescent="0.3">
      <c r="A32" s="3" t="s">
        <v>55</v>
      </c>
      <c r="B32" s="2">
        <v>0</v>
      </c>
    </row>
    <row r="33" spans="1:2" ht="15" customHeight="1" x14ac:dyDescent="0.3">
      <c r="A33" s="3" t="s">
        <v>54</v>
      </c>
      <c r="B33" s="2">
        <v>0</v>
      </c>
    </row>
    <row r="34" spans="1:2" ht="15" customHeight="1" x14ac:dyDescent="0.3">
      <c r="A34" s="3" t="s">
        <v>47</v>
      </c>
      <c r="B34" s="2">
        <v>92729.839999999967</v>
      </c>
    </row>
    <row r="35" spans="1:2" ht="15" customHeight="1" x14ac:dyDescent="0.3">
      <c r="A35" s="3" t="s">
        <v>45</v>
      </c>
      <c r="B35" s="2">
        <v>90908.639999999956</v>
      </c>
    </row>
    <row r="36" spans="1:2" ht="15" customHeight="1" x14ac:dyDescent="0.3">
      <c r="A36" s="3" t="s">
        <v>44</v>
      </c>
      <c r="B36" s="2">
        <v>72120.700000000012</v>
      </c>
    </row>
    <row r="37" spans="1:2" ht="15" customHeight="1" x14ac:dyDescent="0.3">
      <c r="A37" s="3" t="s">
        <v>61</v>
      </c>
      <c r="B37" s="2">
        <v>139779</v>
      </c>
    </row>
    <row r="38" spans="1:2" ht="15" customHeight="1" x14ac:dyDescent="0.3">
      <c r="A38" s="3" t="s">
        <v>62</v>
      </c>
      <c r="B38" s="2">
        <v>100418</v>
      </c>
    </row>
    <row r="39" spans="1:2" ht="15" customHeight="1" x14ac:dyDescent="0.3">
      <c r="A39" s="3" t="s">
        <v>49</v>
      </c>
      <c r="B39" s="2">
        <v>155936.03999999998</v>
      </c>
    </row>
    <row r="40" spans="1:2" ht="15" customHeight="1" x14ac:dyDescent="0.3">
      <c r="A40" s="3" t="s">
        <v>24</v>
      </c>
      <c r="B40" s="2">
        <v>159792.63999999998</v>
      </c>
    </row>
    <row r="41" spans="1:2" ht="15" customHeight="1" x14ac:dyDescent="0.3">
      <c r="A41" s="3" t="s">
        <v>34</v>
      </c>
      <c r="B41" s="2">
        <v>124338.65</v>
      </c>
    </row>
    <row r="42" spans="1:2" ht="15" customHeight="1" x14ac:dyDescent="0.3">
      <c r="A42" s="3" t="s">
        <v>35</v>
      </c>
      <c r="B42" s="2">
        <v>103365.85999999999</v>
      </c>
    </row>
    <row r="43" spans="1:2" ht="15" customHeight="1" x14ac:dyDescent="0.3">
      <c r="A43" s="3" t="s">
        <v>1</v>
      </c>
      <c r="B43" s="2">
        <v>98711.19</v>
      </c>
    </row>
    <row r="44" spans="1:2" ht="15" customHeight="1" x14ac:dyDescent="0.3">
      <c r="A44" s="3" t="s">
        <v>43</v>
      </c>
      <c r="B44" s="2">
        <v>119933.65</v>
      </c>
    </row>
    <row r="45" spans="1:2" ht="15" customHeight="1" x14ac:dyDescent="0.3">
      <c r="A45" s="3" t="s">
        <v>50</v>
      </c>
      <c r="B45" s="2">
        <v>161165.85999999999</v>
      </c>
    </row>
    <row r="46" spans="1:2" ht="15" customHeight="1" x14ac:dyDescent="0.3">
      <c r="A46" s="3" t="s">
        <v>5</v>
      </c>
      <c r="B46" s="2">
        <v>119844.47999999998</v>
      </c>
    </row>
    <row r="47" spans="1:2" ht="15" customHeight="1" x14ac:dyDescent="0.3">
      <c r="A47" s="3" t="s">
        <v>27</v>
      </c>
      <c r="B47" s="2">
        <v>90841.94</v>
      </c>
    </row>
    <row r="48" spans="1:2" ht="15" customHeight="1" x14ac:dyDescent="0.3">
      <c r="A48" s="3" t="s">
        <v>9</v>
      </c>
      <c r="B48" s="2">
        <v>138476.54999999999</v>
      </c>
    </row>
    <row r="49" spans="1:2" ht="15" customHeight="1" x14ac:dyDescent="0.3">
      <c r="A49" s="3" t="s">
        <v>58</v>
      </c>
      <c r="B49" s="2">
        <v>96802.950000000012</v>
      </c>
    </row>
    <row r="50" spans="1:2" ht="15" customHeight="1" x14ac:dyDescent="0.3">
      <c r="A50" s="3" t="s">
        <v>51</v>
      </c>
      <c r="B50" s="2">
        <v>150585.84</v>
      </c>
    </row>
    <row r="51" spans="1:2" ht="15" customHeight="1" x14ac:dyDescent="0.3">
      <c r="A51" s="3" t="s">
        <v>36</v>
      </c>
      <c r="B51" s="2">
        <v>100023.13</v>
      </c>
    </row>
    <row r="52" spans="1:2" ht="15" customHeight="1" x14ac:dyDescent="0.3">
      <c r="A52" s="3" t="s">
        <v>18</v>
      </c>
      <c r="B52" s="2">
        <v>123166.05999999998</v>
      </c>
    </row>
    <row r="53" spans="1:2" ht="15" customHeight="1" x14ac:dyDescent="0.3">
      <c r="A53" s="3" t="s">
        <v>60</v>
      </c>
      <c r="B53" s="2">
        <v>0</v>
      </c>
    </row>
    <row r="54" spans="1:2" ht="15" customHeight="1" x14ac:dyDescent="0.3">
      <c r="A54" s="3" t="s">
        <v>48</v>
      </c>
      <c r="B54" s="2">
        <v>128226.46000000002</v>
      </c>
    </row>
    <row r="55" spans="1:2" ht="15" customHeight="1" x14ac:dyDescent="0.3">
      <c r="A55" s="3" t="s">
        <v>3</v>
      </c>
      <c r="B55" s="2">
        <v>66141.669999999984</v>
      </c>
    </row>
    <row r="56" spans="1:2" ht="15" customHeight="1" x14ac:dyDescent="0.3">
      <c r="A56" s="3" t="s">
        <v>11</v>
      </c>
      <c r="B56" s="2">
        <v>182441.82</v>
      </c>
    </row>
    <row r="57" spans="1:2" ht="15" customHeight="1" x14ac:dyDescent="0.3">
      <c r="A57" s="3" t="s">
        <v>42</v>
      </c>
      <c r="B57" s="2">
        <v>109768.27000000002</v>
      </c>
    </row>
    <row r="58" spans="1:2" ht="15" customHeight="1" x14ac:dyDescent="0.3">
      <c r="A58" s="3" t="s">
        <v>53</v>
      </c>
      <c r="B58" s="2">
        <v>88813.32</v>
      </c>
    </row>
    <row r="59" spans="1:2" ht="15" customHeight="1" x14ac:dyDescent="0.3">
      <c r="A59" s="3" t="s">
        <v>32</v>
      </c>
      <c r="B59" s="2">
        <v>87386.599999999991</v>
      </c>
    </row>
    <row r="60" spans="1:2" ht="15" customHeight="1" x14ac:dyDescent="0.3">
      <c r="A60" s="3" t="s">
        <v>67</v>
      </c>
      <c r="B60" s="2">
        <v>131986.31</v>
      </c>
    </row>
    <row r="61" spans="1:2" ht="15" customHeight="1" x14ac:dyDescent="0.3">
      <c r="A61" s="3" t="s">
        <v>46</v>
      </c>
      <c r="B61" s="2">
        <v>0</v>
      </c>
    </row>
    <row r="62" spans="1:2" ht="15" customHeight="1" x14ac:dyDescent="0.3">
      <c r="A62" s="3" t="s">
        <v>63</v>
      </c>
      <c r="B62" s="2">
        <v>110000</v>
      </c>
    </row>
    <row r="63" spans="1:2" ht="15" customHeight="1" x14ac:dyDescent="0.3">
      <c r="B63" s="14" t="s">
        <v>65</v>
      </c>
    </row>
    <row r="64" spans="1:2" ht="15" customHeight="1" x14ac:dyDescent="0.3">
      <c r="B64" s="14">
        <f>SUM(B2:B63)</f>
        <v>6173405.299999998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23813-9556-4F9A-8464-B117EC7A8CA4}">
  <dimension ref="A1:B63"/>
  <sheetViews>
    <sheetView topLeftCell="A61" workbookViewId="0">
      <selection activeCell="C3" sqref="C3"/>
    </sheetView>
  </sheetViews>
  <sheetFormatPr baseColWidth="10" defaultColWidth="58" defaultRowHeight="19.2" customHeight="1" x14ac:dyDescent="0.3"/>
  <cols>
    <col min="2" max="2" width="10.5546875" bestFit="1" customWidth="1"/>
  </cols>
  <sheetData>
    <row r="1" spans="1:2" ht="19.2" customHeight="1" x14ac:dyDescent="0.3">
      <c r="A1" s="15" t="s">
        <v>68</v>
      </c>
      <c r="B1" s="4" t="s">
        <v>33</v>
      </c>
    </row>
    <row r="2" spans="1:2" ht="19.2" customHeight="1" x14ac:dyDescent="0.3">
      <c r="A2" s="16" t="s">
        <v>0</v>
      </c>
      <c r="B2" s="17">
        <v>102697.09000000001</v>
      </c>
    </row>
    <row r="3" spans="1:2" ht="19.2" customHeight="1" x14ac:dyDescent="0.3">
      <c r="A3" s="16" t="s">
        <v>1</v>
      </c>
      <c r="B3" s="17">
        <v>93628.500000000015</v>
      </c>
    </row>
    <row r="4" spans="1:2" ht="19.2" customHeight="1" x14ac:dyDescent="0.3">
      <c r="A4" s="16" t="s">
        <v>2</v>
      </c>
      <c r="B4" s="17">
        <v>111284.16</v>
      </c>
    </row>
    <row r="5" spans="1:2" ht="19.2" customHeight="1" x14ac:dyDescent="0.3">
      <c r="A5" s="16" t="s">
        <v>3</v>
      </c>
      <c r="B5" s="17">
        <v>55682.739999999991</v>
      </c>
    </row>
    <row r="6" spans="1:2" ht="19.2" customHeight="1" x14ac:dyDescent="0.3">
      <c r="A6" s="16" t="s">
        <v>4</v>
      </c>
      <c r="B6" s="17">
        <v>101118.77999999997</v>
      </c>
    </row>
    <row r="7" spans="1:2" ht="19.2" customHeight="1" x14ac:dyDescent="0.3">
      <c r="A7" s="16" t="s">
        <v>5</v>
      </c>
      <c r="B7" s="17">
        <v>102723.84000000001</v>
      </c>
    </row>
    <row r="8" spans="1:2" ht="19.2" customHeight="1" x14ac:dyDescent="0.3">
      <c r="A8" s="16" t="s">
        <v>6</v>
      </c>
      <c r="B8" s="17">
        <v>63043.189999999944</v>
      </c>
    </row>
    <row r="9" spans="1:2" ht="19.2" customHeight="1" x14ac:dyDescent="0.3">
      <c r="A9" s="16" t="s">
        <v>7</v>
      </c>
      <c r="B9" s="17">
        <v>45518.430000000051</v>
      </c>
    </row>
    <row r="10" spans="1:2" ht="19.2" customHeight="1" x14ac:dyDescent="0.3">
      <c r="A10" s="16" t="s">
        <v>8</v>
      </c>
      <c r="B10" s="17">
        <v>114761.79000000001</v>
      </c>
    </row>
    <row r="11" spans="1:2" ht="19.2" customHeight="1" x14ac:dyDescent="0.3">
      <c r="A11" s="16" t="s">
        <v>9</v>
      </c>
      <c r="B11" s="17">
        <v>124124.64000000001</v>
      </c>
    </row>
    <row r="12" spans="1:2" ht="19.2" customHeight="1" x14ac:dyDescent="0.3">
      <c r="A12" s="16" t="s">
        <v>10</v>
      </c>
      <c r="B12" s="17">
        <v>82303.909999999989</v>
      </c>
    </row>
    <row r="13" spans="1:2" ht="19.2" customHeight="1" x14ac:dyDescent="0.3">
      <c r="A13" s="16" t="s">
        <v>11</v>
      </c>
      <c r="B13" s="17">
        <v>175861.07</v>
      </c>
    </row>
    <row r="14" spans="1:2" ht="19.2" customHeight="1" x14ac:dyDescent="0.3">
      <c r="A14" s="16" t="s">
        <v>12</v>
      </c>
      <c r="B14" s="17">
        <v>91907.520000000004</v>
      </c>
    </row>
    <row r="15" spans="1:2" ht="19.2" customHeight="1" x14ac:dyDescent="0.3">
      <c r="A15" s="16" t="s">
        <v>13</v>
      </c>
      <c r="B15" s="17">
        <v>105042.25999999995</v>
      </c>
    </row>
    <row r="16" spans="1:2" ht="19.2" customHeight="1" x14ac:dyDescent="0.3">
      <c r="A16" s="16" t="s">
        <v>14</v>
      </c>
      <c r="B16" s="17">
        <v>13342.79999999993</v>
      </c>
    </row>
    <row r="17" spans="1:2" ht="19.2" customHeight="1" x14ac:dyDescent="0.3">
      <c r="A17" s="16" t="s">
        <v>15</v>
      </c>
      <c r="B17" s="17">
        <v>128404.8</v>
      </c>
    </row>
    <row r="18" spans="1:2" ht="19.2" customHeight="1" x14ac:dyDescent="0.3">
      <c r="A18" s="16" t="s">
        <v>16</v>
      </c>
      <c r="B18" s="17">
        <v>71344.919999999984</v>
      </c>
    </row>
    <row r="19" spans="1:2" ht="19.2" customHeight="1" x14ac:dyDescent="0.3">
      <c r="A19" s="16" t="s">
        <v>17</v>
      </c>
      <c r="B19" s="17">
        <v>21359.78</v>
      </c>
    </row>
    <row r="20" spans="1:2" ht="19.2" customHeight="1" x14ac:dyDescent="0.3">
      <c r="A20" s="16" t="s">
        <v>18</v>
      </c>
      <c r="B20" s="17">
        <v>107003.99999999999</v>
      </c>
    </row>
    <row r="21" spans="1:2" ht="19.2" customHeight="1" x14ac:dyDescent="0.3">
      <c r="A21" s="16" t="s">
        <v>19</v>
      </c>
      <c r="B21" s="17">
        <v>107684.96</v>
      </c>
    </row>
    <row r="22" spans="1:2" ht="19.2" customHeight="1" x14ac:dyDescent="0.3">
      <c r="A22" s="16" t="s">
        <v>20</v>
      </c>
      <c r="B22" s="17">
        <v>128404.79999999999</v>
      </c>
    </row>
    <row r="23" spans="1:2" ht="19.2" customHeight="1" x14ac:dyDescent="0.3">
      <c r="A23" s="16" t="s">
        <v>21</v>
      </c>
      <c r="B23" s="17">
        <v>30861.199999999983</v>
      </c>
    </row>
    <row r="24" spans="1:2" ht="19.2" customHeight="1" x14ac:dyDescent="0.3">
      <c r="A24" s="16" t="s">
        <v>22</v>
      </c>
      <c r="B24" s="17">
        <v>43382.450000000012</v>
      </c>
    </row>
    <row r="25" spans="1:2" ht="19.2" customHeight="1" x14ac:dyDescent="0.3">
      <c r="A25" s="16" t="s">
        <v>23</v>
      </c>
      <c r="B25" s="17">
        <v>115564.32</v>
      </c>
    </row>
    <row r="26" spans="1:2" ht="19.2" customHeight="1" x14ac:dyDescent="0.3">
      <c r="A26" s="16" t="s">
        <v>24</v>
      </c>
      <c r="B26" s="17">
        <v>136965.12</v>
      </c>
    </row>
    <row r="27" spans="1:2" ht="19.2" customHeight="1" x14ac:dyDescent="0.3">
      <c r="A27" s="16" t="s">
        <v>25</v>
      </c>
      <c r="B27" s="17">
        <v>111952.93000000001</v>
      </c>
    </row>
    <row r="28" spans="1:2" ht="19.2" customHeight="1" x14ac:dyDescent="0.3">
      <c r="A28" s="16" t="s">
        <v>26</v>
      </c>
      <c r="B28" s="17">
        <v>92692.209999999992</v>
      </c>
    </row>
    <row r="29" spans="1:2" ht="19.2" customHeight="1" x14ac:dyDescent="0.3">
      <c r="A29" s="16" t="s">
        <v>27</v>
      </c>
      <c r="B29" s="17">
        <v>74345.489999999991</v>
      </c>
    </row>
    <row r="30" spans="1:2" ht="19.2" customHeight="1" x14ac:dyDescent="0.3">
      <c r="A30" s="16" t="s">
        <v>28</v>
      </c>
      <c r="B30" s="17">
        <v>35943.359999999986</v>
      </c>
    </row>
    <row r="31" spans="1:2" ht="19.2" customHeight="1" x14ac:dyDescent="0.3">
      <c r="A31" s="16" t="s">
        <v>30</v>
      </c>
      <c r="B31" s="17">
        <v>70979.320000000007</v>
      </c>
    </row>
    <row r="32" spans="1:2" ht="19.2" customHeight="1" x14ac:dyDescent="0.3">
      <c r="A32" s="16" t="s">
        <v>31</v>
      </c>
      <c r="B32" s="17">
        <v>41762.06</v>
      </c>
    </row>
    <row r="33" spans="1:2" ht="19.2" customHeight="1" x14ac:dyDescent="0.3">
      <c r="A33" s="16" t="s">
        <v>32</v>
      </c>
      <c r="B33" s="17">
        <v>44585</v>
      </c>
    </row>
    <row r="34" spans="1:2" ht="19.2" customHeight="1" x14ac:dyDescent="0.3">
      <c r="A34" s="16" t="s">
        <v>34</v>
      </c>
      <c r="B34" s="17">
        <v>112354.2</v>
      </c>
    </row>
    <row r="35" spans="1:2" ht="19.2" customHeight="1" x14ac:dyDescent="0.3">
      <c r="A35" s="16" t="s">
        <v>35</v>
      </c>
      <c r="B35" s="17">
        <v>102723.84</v>
      </c>
    </row>
    <row r="36" spans="1:2" ht="19.2" customHeight="1" x14ac:dyDescent="0.3">
      <c r="A36" s="16" t="s">
        <v>36</v>
      </c>
      <c r="B36" s="17">
        <v>85603.200000000012</v>
      </c>
    </row>
    <row r="37" spans="1:2" ht="19.2" customHeight="1" x14ac:dyDescent="0.3">
      <c r="A37" s="16" t="s">
        <v>37</v>
      </c>
      <c r="B37" s="17">
        <v>0</v>
      </c>
    </row>
    <row r="38" spans="1:2" ht="19.2" customHeight="1" x14ac:dyDescent="0.3">
      <c r="A38" s="16" t="s">
        <v>38</v>
      </c>
      <c r="B38" s="17">
        <v>152480.70000000001</v>
      </c>
    </row>
    <row r="39" spans="1:2" ht="19.2" customHeight="1" x14ac:dyDescent="0.3">
      <c r="A39" s="16" t="s">
        <v>39</v>
      </c>
      <c r="B39" s="17">
        <v>107004</v>
      </c>
    </row>
    <row r="40" spans="1:2" ht="19.2" customHeight="1" x14ac:dyDescent="0.3">
      <c r="A40" s="16" t="s">
        <v>40</v>
      </c>
      <c r="B40" s="17">
        <v>94649.5</v>
      </c>
    </row>
    <row r="41" spans="1:2" ht="19.2" customHeight="1" x14ac:dyDescent="0.3">
      <c r="A41" s="16" t="s">
        <v>41</v>
      </c>
      <c r="B41" s="17">
        <v>110347.87</v>
      </c>
    </row>
    <row r="42" spans="1:2" ht="19.2" customHeight="1" x14ac:dyDescent="0.3">
      <c r="A42" s="16" t="s">
        <v>42</v>
      </c>
      <c r="B42" s="17">
        <v>83730.63</v>
      </c>
    </row>
    <row r="43" spans="1:2" ht="19.2" customHeight="1" x14ac:dyDescent="0.3">
      <c r="A43" s="16" t="s">
        <v>43</v>
      </c>
      <c r="B43" s="17">
        <v>82125.569999999992</v>
      </c>
    </row>
    <row r="44" spans="1:2" ht="19.2" customHeight="1" x14ac:dyDescent="0.3">
      <c r="A44" s="16" t="s">
        <v>60</v>
      </c>
      <c r="B44" s="17">
        <v>0</v>
      </c>
    </row>
    <row r="45" spans="1:2" ht="19.2" customHeight="1" x14ac:dyDescent="0.3">
      <c r="A45" s="16" t="s">
        <v>59</v>
      </c>
      <c r="B45" s="17">
        <v>72848.320000000007</v>
      </c>
    </row>
    <row r="46" spans="1:2" ht="19.2" customHeight="1" x14ac:dyDescent="0.3">
      <c r="A46" s="16" t="s">
        <v>58</v>
      </c>
      <c r="B46" s="17">
        <v>80235.169999999984</v>
      </c>
    </row>
    <row r="47" spans="1:2" ht="19.2" customHeight="1" x14ac:dyDescent="0.3">
      <c r="A47" s="16" t="s">
        <v>57</v>
      </c>
      <c r="B47" s="17">
        <v>81324.820000000007</v>
      </c>
    </row>
    <row r="48" spans="1:2" ht="19.2" customHeight="1" x14ac:dyDescent="0.3">
      <c r="A48" s="16" t="s">
        <v>55</v>
      </c>
      <c r="B48" s="17">
        <v>0</v>
      </c>
    </row>
    <row r="49" spans="1:2" ht="19.2" customHeight="1" x14ac:dyDescent="0.3">
      <c r="A49" s="16" t="s">
        <v>54</v>
      </c>
      <c r="B49" s="17">
        <v>0</v>
      </c>
    </row>
    <row r="50" spans="1:2" ht="19.2" customHeight="1" x14ac:dyDescent="0.3">
      <c r="A50" s="16" t="s">
        <v>53</v>
      </c>
      <c r="B50" s="17">
        <v>85603.200000000012</v>
      </c>
    </row>
    <row r="51" spans="1:2" ht="19.2" customHeight="1" x14ac:dyDescent="0.3">
      <c r="A51" s="16" t="s">
        <v>67</v>
      </c>
      <c r="B51" s="17">
        <v>125454.16</v>
      </c>
    </row>
    <row r="52" spans="1:2" ht="19.2" customHeight="1" x14ac:dyDescent="0.3">
      <c r="A52" s="16" t="s">
        <v>51</v>
      </c>
      <c r="B52" s="17">
        <v>125729.7</v>
      </c>
    </row>
    <row r="53" spans="1:2" ht="19.2" customHeight="1" x14ac:dyDescent="0.3">
      <c r="A53" s="16" t="s">
        <v>50</v>
      </c>
      <c r="B53" s="17">
        <v>124263.75</v>
      </c>
    </row>
    <row r="54" spans="1:2" ht="19.2" customHeight="1" x14ac:dyDescent="0.3">
      <c r="A54" s="16" t="s">
        <v>49</v>
      </c>
      <c r="B54" s="17">
        <v>133086.22</v>
      </c>
    </row>
    <row r="55" spans="1:2" ht="19.2" customHeight="1" x14ac:dyDescent="0.3">
      <c r="A55" s="16" t="s">
        <v>48</v>
      </c>
      <c r="B55" s="17">
        <v>129041.47</v>
      </c>
    </row>
    <row r="56" spans="1:2" ht="19.2" customHeight="1" x14ac:dyDescent="0.3">
      <c r="A56" s="16" t="s">
        <v>47</v>
      </c>
      <c r="B56" s="17">
        <v>62862.030000000028</v>
      </c>
    </row>
    <row r="57" spans="1:2" ht="19.2" customHeight="1" x14ac:dyDescent="0.3">
      <c r="A57" s="16" t="s">
        <v>46</v>
      </c>
      <c r="B57" s="17">
        <v>0</v>
      </c>
    </row>
    <row r="58" spans="1:2" ht="19.2" customHeight="1" x14ac:dyDescent="0.3">
      <c r="A58" s="16" t="s">
        <v>45</v>
      </c>
      <c r="B58" s="17">
        <v>67612.350000000035</v>
      </c>
    </row>
    <row r="59" spans="1:2" ht="19.2" customHeight="1" x14ac:dyDescent="0.3">
      <c r="A59" s="16" t="s">
        <v>44</v>
      </c>
      <c r="B59" s="17">
        <v>80752.350000000035</v>
      </c>
    </row>
    <row r="60" spans="1:2" ht="19.2" customHeight="1" x14ac:dyDescent="0.3">
      <c r="A60" s="16" t="s">
        <v>61</v>
      </c>
      <c r="B60" s="17">
        <v>63049</v>
      </c>
    </row>
    <row r="61" spans="1:2" ht="19.2" customHeight="1" x14ac:dyDescent="0.3">
      <c r="A61" s="16" t="s">
        <v>62</v>
      </c>
      <c r="B61" s="17">
        <v>72794.540000000037</v>
      </c>
    </row>
    <row r="62" spans="1:2" ht="19.2" customHeight="1" x14ac:dyDescent="0.3">
      <c r="B62" s="14" t="s">
        <v>65</v>
      </c>
    </row>
    <row r="63" spans="1:2" ht="19.2" customHeight="1" x14ac:dyDescent="0.3">
      <c r="B63" s="14">
        <f>SUM(B2:B62)</f>
        <v>4981954.0299999993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CDF31-B189-4C15-959E-326A2E85F5E9}">
  <dimension ref="A1:B62"/>
  <sheetViews>
    <sheetView topLeftCell="A43" workbookViewId="0">
      <selection activeCell="E55" sqref="E55"/>
    </sheetView>
  </sheetViews>
  <sheetFormatPr baseColWidth="10" defaultRowHeight="17.399999999999999" customHeight="1" x14ac:dyDescent="0.3"/>
  <cols>
    <col min="1" max="1" width="62" customWidth="1"/>
    <col min="2" max="2" width="12.6640625" bestFit="1" customWidth="1"/>
  </cols>
  <sheetData>
    <row r="1" spans="1:2" ht="17.399999999999999" customHeight="1" x14ac:dyDescent="0.3">
      <c r="A1" s="18" t="s">
        <v>69</v>
      </c>
      <c r="B1" s="18" t="s">
        <v>33</v>
      </c>
    </row>
    <row r="2" spans="1:2" ht="17.399999999999999" customHeight="1" x14ac:dyDescent="0.3">
      <c r="A2" s="10" t="s">
        <v>0</v>
      </c>
      <c r="B2" s="2">
        <v>98577.43</v>
      </c>
    </row>
    <row r="3" spans="1:2" ht="17.399999999999999" customHeight="1" x14ac:dyDescent="0.3">
      <c r="A3" s="10" t="s">
        <v>1</v>
      </c>
      <c r="B3" s="2">
        <v>85603.199999999983</v>
      </c>
    </row>
    <row r="4" spans="1:2" ht="17.399999999999999" customHeight="1" x14ac:dyDescent="0.3">
      <c r="A4" s="10" t="s">
        <v>2</v>
      </c>
      <c r="B4" s="2">
        <v>95287.06</v>
      </c>
    </row>
    <row r="5" spans="1:2" ht="17.399999999999999" customHeight="1" x14ac:dyDescent="0.3">
      <c r="A5" s="10" t="s">
        <v>3</v>
      </c>
      <c r="B5" s="2">
        <v>55314.469999999972</v>
      </c>
    </row>
    <row r="6" spans="1:2" ht="17.399999999999999" customHeight="1" x14ac:dyDescent="0.3">
      <c r="A6" s="10" t="s">
        <v>4</v>
      </c>
      <c r="B6" s="2">
        <v>86419.110000000044</v>
      </c>
    </row>
    <row r="7" spans="1:2" ht="17.399999999999999" customHeight="1" x14ac:dyDescent="0.3">
      <c r="A7" s="10" t="s">
        <v>5</v>
      </c>
      <c r="B7" s="2">
        <v>102723.84000000001</v>
      </c>
    </row>
    <row r="8" spans="1:2" ht="17.399999999999999" customHeight="1" x14ac:dyDescent="0.3">
      <c r="A8" s="10" t="s">
        <v>6</v>
      </c>
      <c r="B8" s="2">
        <v>46814.25</v>
      </c>
    </row>
    <row r="9" spans="1:2" ht="17.399999999999999" customHeight="1" x14ac:dyDescent="0.3">
      <c r="A9" s="10" t="s">
        <v>7</v>
      </c>
      <c r="B9" s="2">
        <v>33586.420000000013</v>
      </c>
    </row>
    <row r="10" spans="1:2" ht="17.399999999999999" customHeight="1" x14ac:dyDescent="0.3">
      <c r="A10" s="10" t="s">
        <v>8</v>
      </c>
      <c r="B10" s="2">
        <v>111284.16</v>
      </c>
    </row>
    <row r="11" spans="1:2" ht="17.399999999999999" customHeight="1" x14ac:dyDescent="0.3">
      <c r="A11" s="10" t="s">
        <v>9</v>
      </c>
      <c r="B11" s="2">
        <v>121538.71000000002</v>
      </c>
    </row>
    <row r="12" spans="1:2" ht="17.399999999999999" customHeight="1" x14ac:dyDescent="0.3">
      <c r="A12" s="10" t="s">
        <v>10</v>
      </c>
      <c r="B12" s="2">
        <v>82660.59</v>
      </c>
    </row>
    <row r="13" spans="1:2" ht="17.399999999999999" customHeight="1" x14ac:dyDescent="0.3">
      <c r="A13" s="10" t="s">
        <v>11</v>
      </c>
      <c r="B13" s="2">
        <v>172008.93</v>
      </c>
    </row>
    <row r="14" spans="1:2" ht="17.399999999999999" customHeight="1" x14ac:dyDescent="0.3">
      <c r="A14" s="10" t="s">
        <v>12</v>
      </c>
      <c r="B14" s="2">
        <v>89847.689999999988</v>
      </c>
    </row>
    <row r="15" spans="1:2" ht="17.399999999999999" customHeight="1" x14ac:dyDescent="0.3">
      <c r="A15" s="10" t="s">
        <v>13</v>
      </c>
      <c r="B15" s="2">
        <v>78781.69</v>
      </c>
    </row>
    <row r="16" spans="1:2" ht="17.399999999999999" customHeight="1" x14ac:dyDescent="0.3">
      <c r="A16" s="10" t="s">
        <v>14</v>
      </c>
      <c r="B16" s="2">
        <v>4062.3400000000256</v>
      </c>
    </row>
    <row r="17" spans="1:2" ht="17.399999999999999" customHeight="1" x14ac:dyDescent="0.3">
      <c r="A17" s="10" t="s">
        <v>15</v>
      </c>
      <c r="B17" s="2">
        <v>123054.59999999999</v>
      </c>
    </row>
    <row r="18" spans="1:2" ht="17.399999999999999" customHeight="1" x14ac:dyDescent="0.3">
      <c r="A18" s="10" t="s">
        <v>16</v>
      </c>
      <c r="B18" s="2">
        <v>74581.789999999979</v>
      </c>
    </row>
    <row r="19" spans="1:2" ht="17.399999999999999" customHeight="1" x14ac:dyDescent="0.3">
      <c r="A19" s="10" t="s">
        <v>17</v>
      </c>
      <c r="B19" s="2">
        <v>0</v>
      </c>
    </row>
    <row r="20" spans="1:2" ht="17.399999999999999" customHeight="1" x14ac:dyDescent="0.3">
      <c r="A20" s="10" t="s">
        <v>18</v>
      </c>
      <c r="B20" s="2">
        <v>104328.90000000001</v>
      </c>
    </row>
    <row r="21" spans="1:2" ht="17.399999999999999" customHeight="1" x14ac:dyDescent="0.3">
      <c r="A21" s="10" t="s">
        <v>19</v>
      </c>
      <c r="B21" s="2">
        <v>128814.97999999998</v>
      </c>
    </row>
    <row r="22" spans="1:2" ht="17.399999999999999" customHeight="1" x14ac:dyDescent="0.3">
      <c r="A22" s="10" t="s">
        <v>20</v>
      </c>
      <c r="B22" s="2">
        <v>128404.80000000005</v>
      </c>
    </row>
    <row r="23" spans="1:2" ht="17.399999999999999" customHeight="1" x14ac:dyDescent="0.3">
      <c r="A23" s="10" t="s">
        <v>21</v>
      </c>
      <c r="B23" s="2">
        <v>45592.090000000026</v>
      </c>
    </row>
    <row r="24" spans="1:2" ht="17.399999999999999" customHeight="1" x14ac:dyDescent="0.3">
      <c r="A24" s="10" t="s">
        <v>22</v>
      </c>
      <c r="B24" s="2">
        <v>41246.479999999981</v>
      </c>
    </row>
    <row r="25" spans="1:2" ht="17.399999999999999" customHeight="1" x14ac:dyDescent="0.3">
      <c r="A25" s="10" t="s">
        <v>23</v>
      </c>
      <c r="B25" s="2">
        <v>108702.69</v>
      </c>
    </row>
    <row r="26" spans="1:2" ht="17.399999999999999" customHeight="1" x14ac:dyDescent="0.3">
      <c r="A26" s="10" t="s">
        <v>24</v>
      </c>
      <c r="B26" s="2">
        <v>131686.26</v>
      </c>
    </row>
    <row r="27" spans="1:2" ht="17.399999999999999" customHeight="1" x14ac:dyDescent="0.3">
      <c r="A27" s="10" t="s">
        <v>25</v>
      </c>
      <c r="B27" s="2">
        <v>97387.02</v>
      </c>
    </row>
    <row r="28" spans="1:2" ht="17.399999999999999" customHeight="1" x14ac:dyDescent="0.3">
      <c r="A28" s="10" t="s">
        <v>26</v>
      </c>
      <c r="B28" s="2">
        <v>89883.359999999986</v>
      </c>
    </row>
    <row r="29" spans="1:2" ht="17.399999999999999" customHeight="1" x14ac:dyDescent="0.3">
      <c r="A29" s="10" t="s">
        <v>27</v>
      </c>
      <c r="B29" s="2">
        <v>72004.76999999999</v>
      </c>
    </row>
    <row r="30" spans="1:2" ht="17.399999999999999" customHeight="1" x14ac:dyDescent="0.3">
      <c r="A30" s="10" t="s">
        <v>28</v>
      </c>
      <c r="B30" s="2">
        <v>32555.25</v>
      </c>
    </row>
    <row r="31" spans="1:2" ht="17.399999999999999" customHeight="1" x14ac:dyDescent="0.3">
      <c r="A31" s="10" t="s">
        <v>30</v>
      </c>
      <c r="B31" s="2">
        <v>56444.609999999986</v>
      </c>
    </row>
    <row r="32" spans="1:2" ht="17.399999999999999" customHeight="1" x14ac:dyDescent="0.3">
      <c r="A32" s="10" t="s">
        <v>31</v>
      </c>
      <c r="B32" s="2">
        <v>53915.040000000037</v>
      </c>
    </row>
    <row r="33" spans="1:2" ht="17.399999999999999" customHeight="1" x14ac:dyDescent="0.3">
      <c r="A33" s="10" t="s">
        <v>32</v>
      </c>
      <c r="B33" s="2">
        <v>56266.27</v>
      </c>
    </row>
    <row r="34" spans="1:2" ht="17.399999999999999" customHeight="1" x14ac:dyDescent="0.3">
      <c r="A34" s="10" t="s">
        <v>34</v>
      </c>
      <c r="B34" s="2">
        <v>79896.320000000007</v>
      </c>
    </row>
    <row r="35" spans="1:2" ht="17.399999999999999" customHeight="1" x14ac:dyDescent="0.3">
      <c r="A35" s="10" t="s">
        <v>35</v>
      </c>
      <c r="B35" s="2">
        <v>102723.84000000001</v>
      </c>
    </row>
    <row r="36" spans="1:2" ht="17.399999999999999" customHeight="1" x14ac:dyDescent="0.3">
      <c r="A36" s="19" t="s">
        <v>36</v>
      </c>
      <c r="B36" s="20">
        <v>97641.150000000009</v>
      </c>
    </row>
    <row r="37" spans="1:2" ht="17.399999999999999" customHeight="1" x14ac:dyDescent="0.3">
      <c r="A37" s="10" t="s">
        <v>37</v>
      </c>
      <c r="B37" s="2">
        <v>0</v>
      </c>
    </row>
    <row r="38" spans="1:2" ht="17.399999999999999" customHeight="1" x14ac:dyDescent="0.3">
      <c r="A38" s="10" t="s">
        <v>38</v>
      </c>
      <c r="B38" s="2">
        <v>123054.6</v>
      </c>
    </row>
    <row r="39" spans="1:2" ht="17.399999999999999" customHeight="1" x14ac:dyDescent="0.3">
      <c r="A39" s="10" t="s">
        <v>39</v>
      </c>
      <c r="B39" s="2">
        <v>115363.69</v>
      </c>
    </row>
    <row r="40" spans="1:2" ht="17.399999999999999" customHeight="1" x14ac:dyDescent="0.3">
      <c r="A40" s="10" t="s">
        <v>40</v>
      </c>
      <c r="B40" s="2">
        <v>98443.68</v>
      </c>
    </row>
    <row r="41" spans="1:2" ht="17.399999999999999" customHeight="1" x14ac:dyDescent="0.3">
      <c r="A41" s="10" t="s">
        <v>41</v>
      </c>
      <c r="B41" s="2">
        <v>90841.94</v>
      </c>
    </row>
    <row r="42" spans="1:2" ht="17.399999999999999" customHeight="1" x14ac:dyDescent="0.3">
      <c r="A42" s="10" t="s">
        <v>42</v>
      </c>
      <c r="B42" s="2">
        <v>92290.949999999983</v>
      </c>
    </row>
    <row r="43" spans="1:2" ht="17.399999999999999" customHeight="1" x14ac:dyDescent="0.3">
      <c r="A43" s="10" t="s">
        <v>43</v>
      </c>
      <c r="B43" s="2">
        <v>85603.199999999997</v>
      </c>
    </row>
    <row r="44" spans="1:2" ht="17.399999999999999" customHeight="1" x14ac:dyDescent="0.3">
      <c r="A44" s="10" t="s">
        <v>60</v>
      </c>
      <c r="B44" s="2">
        <v>0</v>
      </c>
    </row>
    <row r="45" spans="1:2" ht="17.399999999999999" customHeight="1" x14ac:dyDescent="0.3">
      <c r="A45" s="10" t="s">
        <v>59</v>
      </c>
      <c r="B45" s="2">
        <v>62437.079999999987</v>
      </c>
    </row>
    <row r="46" spans="1:2" ht="17.399999999999999" customHeight="1" x14ac:dyDescent="0.3">
      <c r="A46" s="10" t="s">
        <v>58</v>
      </c>
      <c r="B46" s="2">
        <v>72138.53</v>
      </c>
    </row>
    <row r="47" spans="1:2" ht="17.399999999999999" customHeight="1" x14ac:dyDescent="0.3">
      <c r="A47" s="10" t="s">
        <v>57</v>
      </c>
      <c r="B47" s="2">
        <v>82174.080000000002</v>
      </c>
    </row>
    <row r="48" spans="1:2" ht="17.399999999999999" customHeight="1" x14ac:dyDescent="0.3">
      <c r="A48" s="10" t="s">
        <v>55</v>
      </c>
      <c r="B48" s="2">
        <v>0</v>
      </c>
    </row>
    <row r="49" spans="1:2" ht="17.399999999999999" customHeight="1" x14ac:dyDescent="0.3">
      <c r="A49" s="10" t="s">
        <v>54</v>
      </c>
      <c r="B49" s="2">
        <v>0</v>
      </c>
    </row>
    <row r="50" spans="1:2" ht="17.399999999999999" customHeight="1" x14ac:dyDescent="0.3">
      <c r="A50" s="10" t="s">
        <v>53</v>
      </c>
      <c r="B50" s="2">
        <v>68964.08</v>
      </c>
    </row>
    <row r="51" spans="1:2" ht="17.399999999999999" customHeight="1" x14ac:dyDescent="0.3">
      <c r="A51" s="10" t="s">
        <v>67</v>
      </c>
      <c r="B51" s="2">
        <v>98443.680000000008</v>
      </c>
    </row>
    <row r="52" spans="1:2" ht="17.399999999999999" customHeight="1" x14ac:dyDescent="0.3">
      <c r="A52" s="10" t="s">
        <v>51</v>
      </c>
      <c r="B52" s="2">
        <v>67523.98</v>
      </c>
    </row>
    <row r="53" spans="1:2" ht="17.399999999999999" customHeight="1" x14ac:dyDescent="0.3">
      <c r="A53" s="10" t="s">
        <v>50</v>
      </c>
      <c r="B53" s="2">
        <v>119844.47999999998</v>
      </c>
    </row>
    <row r="54" spans="1:2" ht="17.399999999999999" customHeight="1" x14ac:dyDescent="0.3">
      <c r="A54" s="10" t="s">
        <v>48</v>
      </c>
      <c r="B54" s="2">
        <v>106340.58000000002</v>
      </c>
    </row>
    <row r="55" spans="1:2" ht="17.399999999999999" customHeight="1" x14ac:dyDescent="0.3">
      <c r="A55" s="10" t="s">
        <v>47</v>
      </c>
      <c r="B55" s="2">
        <v>48201.310000000012</v>
      </c>
    </row>
    <row r="56" spans="1:2" ht="17.399999999999999" customHeight="1" x14ac:dyDescent="0.3">
      <c r="A56" s="10" t="s">
        <v>46</v>
      </c>
      <c r="B56" s="2">
        <v>0</v>
      </c>
    </row>
    <row r="57" spans="1:2" ht="17.399999999999999" customHeight="1" x14ac:dyDescent="0.3">
      <c r="A57" s="10" t="s">
        <v>45</v>
      </c>
      <c r="B57" s="2">
        <v>59857.039999999979</v>
      </c>
    </row>
    <row r="58" spans="1:2" ht="17.399999999999999" customHeight="1" x14ac:dyDescent="0.3">
      <c r="A58" s="10" t="s">
        <v>44</v>
      </c>
      <c r="B58" s="2">
        <v>69606.099999999977</v>
      </c>
    </row>
    <row r="59" spans="1:2" ht="17.399999999999999" customHeight="1" x14ac:dyDescent="0.3">
      <c r="A59" s="10" t="s">
        <v>61</v>
      </c>
      <c r="B59" s="2">
        <v>53329</v>
      </c>
    </row>
    <row r="60" spans="1:2" ht="17.399999999999999" customHeight="1" x14ac:dyDescent="0.3">
      <c r="A60" s="10" t="s">
        <v>62</v>
      </c>
      <c r="B60" s="2">
        <v>64148.379999999976</v>
      </c>
    </row>
    <row r="61" spans="1:2" ht="17.399999999999999" customHeight="1" x14ac:dyDescent="0.3">
      <c r="B61" s="14" t="s">
        <v>65</v>
      </c>
    </row>
    <row r="62" spans="1:2" ht="17.399999999999999" customHeight="1" x14ac:dyDescent="0.3">
      <c r="B62" s="14">
        <f>SUM(B2:B61)</f>
        <v>4468246.49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91A2B-EC2A-4734-B4E8-26D0478202FB}">
  <dimension ref="A1:D14"/>
  <sheetViews>
    <sheetView workbookViewId="0">
      <selection activeCell="A8" sqref="A8:C8"/>
    </sheetView>
  </sheetViews>
  <sheetFormatPr baseColWidth="10" defaultRowHeight="14.4" x14ac:dyDescent="0.3"/>
  <cols>
    <col min="3" max="3" width="25.6640625" customWidth="1"/>
    <col min="4" max="4" width="18.88671875" customWidth="1"/>
  </cols>
  <sheetData>
    <row r="1" spans="1:4" ht="17.399999999999999" x14ac:dyDescent="0.3">
      <c r="A1" s="21" t="s">
        <v>70</v>
      </c>
      <c r="B1" s="21"/>
      <c r="C1" s="21"/>
      <c r="D1" s="22"/>
    </row>
    <row r="2" spans="1:4" ht="30" x14ac:dyDescent="0.3">
      <c r="A2" s="23" t="s">
        <v>71</v>
      </c>
      <c r="B2" s="23"/>
      <c r="C2" s="23"/>
      <c r="D2" s="24" t="s">
        <v>72</v>
      </c>
    </row>
    <row r="3" spans="1:4" ht="15" x14ac:dyDescent="0.3">
      <c r="A3" s="25" t="s">
        <v>60</v>
      </c>
      <c r="B3" s="25"/>
      <c r="C3" s="25"/>
      <c r="D3" s="26">
        <v>428016</v>
      </c>
    </row>
    <row r="4" spans="1:4" ht="15" x14ac:dyDescent="0.3">
      <c r="A4" s="25" t="s">
        <v>73</v>
      </c>
      <c r="B4" s="25"/>
      <c r="C4" s="25"/>
      <c r="D4" s="26">
        <v>468969.4</v>
      </c>
    </row>
    <row r="5" spans="1:4" ht="15" x14ac:dyDescent="0.3">
      <c r="A5" s="25" t="s">
        <v>74</v>
      </c>
      <c r="B5" s="25"/>
      <c r="C5" s="25"/>
      <c r="D5" s="26">
        <v>585621</v>
      </c>
    </row>
    <row r="6" spans="1:4" ht="15" x14ac:dyDescent="0.3">
      <c r="A6" s="25" t="s">
        <v>55</v>
      </c>
      <c r="B6" s="25"/>
      <c r="C6" s="25"/>
      <c r="D6" s="26">
        <v>374514</v>
      </c>
    </row>
    <row r="7" spans="1:4" ht="15" x14ac:dyDescent="0.3">
      <c r="A7" s="25" t="s">
        <v>75</v>
      </c>
      <c r="B7" s="25"/>
      <c r="C7" s="25"/>
      <c r="D7" s="26">
        <v>214008</v>
      </c>
    </row>
    <row r="8" spans="1:4" ht="15" x14ac:dyDescent="0.3">
      <c r="A8" s="25" t="s">
        <v>76</v>
      </c>
      <c r="B8" s="25"/>
      <c r="C8" s="25"/>
      <c r="D8" s="26">
        <v>222000</v>
      </c>
    </row>
    <row r="9" spans="1:4" ht="15" x14ac:dyDescent="0.3">
      <c r="A9" s="25" t="s">
        <v>54</v>
      </c>
      <c r="B9" s="25"/>
      <c r="C9" s="25"/>
      <c r="D9" s="26">
        <v>454767</v>
      </c>
    </row>
    <row r="10" spans="1:4" ht="15" x14ac:dyDescent="0.3">
      <c r="A10" s="25" t="s">
        <v>77</v>
      </c>
      <c r="B10" s="25"/>
      <c r="C10" s="25"/>
      <c r="D10" s="26">
        <v>642024</v>
      </c>
    </row>
    <row r="11" spans="1:4" ht="15" x14ac:dyDescent="0.3">
      <c r="A11" s="25" t="s">
        <v>78</v>
      </c>
      <c r="B11" s="25"/>
      <c r="C11" s="25"/>
      <c r="D11" s="26">
        <v>369318.71</v>
      </c>
    </row>
    <row r="12" spans="1:4" ht="15" x14ac:dyDescent="0.3">
      <c r="A12" s="25" t="s">
        <v>79</v>
      </c>
      <c r="B12" s="25"/>
      <c r="C12" s="25"/>
      <c r="D12" s="26">
        <v>454767</v>
      </c>
    </row>
    <row r="13" spans="1:4" ht="15" x14ac:dyDescent="0.3">
      <c r="A13" s="27" t="s">
        <v>46</v>
      </c>
      <c r="B13" s="28"/>
      <c r="C13" s="29"/>
      <c r="D13" s="30">
        <v>374513</v>
      </c>
    </row>
    <row r="14" spans="1:4" ht="21" x14ac:dyDescent="0.3">
      <c r="A14" s="31" t="s">
        <v>80</v>
      </c>
      <c r="B14" s="31"/>
      <c r="C14" s="31"/>
      <c r="D14" s="32">
        <f>SUM(D3:D13)</f>
        <v>4588518.1099999994</v>
      </c>
    </row>
  </sheetData>
  <mergeCells count="14">
    <mergeCell ref="A13:C13"/>
    <mergeCell ref="A14:C14"/>
    <mergeCell ref="A7:C7"/>
    <mergeCell ref="A8:C8"/>
    <mergeCell ref="A9:C9"/>
    <mergeCell ref="A10:C10"/>
    <mergeCell ref="A11:C11"/>
    <mergeCell ref="A12:C12"/>
    <mergeCell ref="A1:D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D3C30-0C5A-498D-B4D4-9B9D4E2289BA}">
  <dimension ref="A1:B13"/>
  <sheetViews>
    <sheetView workbookViewId="0">
      <selection activeCell="C10" sqref="C10"/>
    </sheetView>
  </sheetViews>
  <sheetFormatPr baseColWidth="10" defaultColWidth="46.44140625" defaultRowHeight="19.8" customHeight="1" x14ac:dyDescent="0.3"/>
  <cols>
    <col min="1" max="1" width="47.44140625" customWidth="1"/>
    <col min="2" max="2" width="23.6640625" bestFit="1" customWidth="1"/>
  </cols>
  <sheetData>
    <row r="1" spans="1:2" ht="19.8" customHeight="1" x14ac:dyDescent="0.3">
      <c r="A1" s="33" t="s">
        <v>81</v>
      </c>
      <c r="B1" s="34" t="s">
        <v>82</v>
      </c>
    </row>
    <row r="2" spans="1:2" ht="19.8" customHeight="1" x14ac:dyDescent="0.3">
      <c r="A2" s="35" t="s">
        <v>60</v>
      </c>
      <c r="B2" s="36">
        <v>356680</v>
      </c>
    </row>
    <row r="3" spans="1:2" ht="19.8" customHeight="1" x14ac:dyDescent="0.3">
      <c r="A3" s="35" t="s">
        <v>73</v>
      </c>
      <c r="B3" s="36">
        <v>417974.5</v>
      </c>
    </row>
    <row r="4" spans="1:2" ht="19.8" customHeight="1" x14ac:dyDescent="0.3">
      <c r="A4" s="35" t="s">
        <v>74</v>
      </c>
      <c r="B4" s="36">
        <v>549019.68999999994</v>
      </c>
    </row>
    <row r="5" spans="1:2" ht="19.8" customHeight="1" x14ac:dyDescent="0.3">
      <c r="A5" s="35" t="s">
        <v>55</v>
      </c>
      <c r="B5" s="36">
        <v>312095</v>
      </c>
    </row>
    <row r="6" spans="1:2" ht="19.8" customHeight="1" x14ac:dyDescent="0.3">
      <c r="A6" s="35" t="s">
        <v>75</v>
      </c>
      <c r="B6" s="36">
        <v>178340</v>
      </c>
    </row>
    <row r="7" spans="1:2" ht="19.8" customHeight="1" x14ac:dyDescent="0.3">
      <c r="A7" s="35" t="s">
        <v>76</v>
      </c>
      <c r="B7" s="36">
        <v>182000</v>
      </c>
    </row>
    <row r="8" spans="1:2" ht="19.8" customHeight="1" x14ac:dyDescent="0.3">
      <c r="A8" s="35" t="s">
        <v>54</v>
      </c>
      <c r="B8" s="36">
        <v>397465</v>
      </c>
    </row>
    <row r="9" spans="1:2" ht="19.8" customHeight="1" x14ac:dyDescent="0.3">
      <c r="A9" s="35" t="s">
        <v>77</v>
      </c>
      <c r="B9" s="36">
        <v>495220</v>
      </c>
    </row>
    <row r="10" spans="1:2" ht="19.8" customHeight="1" x14ac:dyDescent="0.3">
      <c r="A10" s="35" t="s">
        <v>78</v>
      </c>
      <c r="B10" s="36">
        <v>299432.26</v>
      </c>
    </row>
    <row r="11" spans="1:2" ht="19.8" customHeight="1" x14ac:dyDescent="0.3">
      <c r="A11" s="35" t="s">
        <v>79</v>
      </c>
      <c r="B11" s="36">
        <v>377672.5</v>
      </c>
    </row>
    <row r="12" spans="1:2" ht="19.8" customHeight="1" x14ac:dyDescent="0.3">
      <c r="A12" s="35" t="s">
        <v>46</v>
      </c>
      <c r="B12" s="36">
        <v>312094.28999999998</v>
      </c>
    </row>
    <row r="13" spans="1:2" ht="19.8" customHeight="1" x14ac:dyDescent="0.3">
      <c r="A13" s="37" t="s">
        <v>83</v>
      </c>
      <c r="B13" s="38">
        <v>3877993.24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SEMANA 03-09 ABRIL 2026</vt:lpstr>
      <vt:lpstr>SEMANA 10-16 ABRIL 2026</vt:lpstr>
      <vt:lpstr>SEMANA 17-23 ABRIL 2026</vt:lpstr>
      <vt:lpstr>SEMANA 24-30 ABRIL 2026</vt:lpstr>
      <vt:lpstr>PLANILLA FIJA 01-15 ABRIL 2026</vt:lpstr>
      <vt:lpstr>PLANILLA FIJA 16-30 ABRIL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Abner Carrillo</dc:creator>
  <cp:lastModifiedBy>Abner Carrillo</cp:lastModifiedBy>
  <dcterms:created xsi:type="dcterms:W3CDTF">2026-05-12T19:35:47Z</dcterms:created>
  <dcterms:modified xsi:type="dcterms:W3CDTF">2026-05-12T20:15:23Z</dcterms:modified>
</cp:coreProperties>
</file>