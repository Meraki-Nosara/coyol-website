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649a0e3bd09d9a/Desktop/MERAKI MARYON ABRIL/"/>
    </mc:Choice>
  </mc:AlternateContent>
  <xr:revisionPtr revIDLastSave="0" documentId="13_ncr:3_{9000E8C8-FDBF-4F10-BA6A-7DA7EC6A97F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2" l="1"/>
  <c r="H9" i="1"/>
</calcChain>
</file>

<file path=xl/sharedStrings.xml><?xml version="1.0" encoding="utf-8"?>
<sst xmlns="http://schemas.openxmlformats.org/spreadsheetml/2006/main" count="471" uniqueCount="86">
  <si>
    <t>Cantidad</t>
  </si>
  <si>
    <t>Desc. empleado</t>
  </si>
  <si>
    <t>ALEJANDRO XAVIER SALAZAR CARVAJAL</t>
  </si>
  <si>
    <t>BRYAN ONIEL ZAMORA CRUZ</t>
  </si>
  <si>
    <t>BYRON ANTONIO ESPINOZA ALVARADO</t>
  </si>
  <si>
    <t>CARLOS VARGAS FERNANDEZ</t>
  </si>
  <si>
    <t>CARMEN ISABEL MUÑOZ ESPINOZA</t>
  </si>
  <si>
    <t>DARWIN TUGWELL FONSECA</t>
  </si>
  <si>
    <t>DIEGO ALEJANDRO LOPEZ ALVAREZ</t>
  </si>
  <si>
    <t>EDER JESUS ROJAS HERNANDEZ</t>
  </si>
  <si>
    <t>ELIZABETH SABALLO MAYORGA</t>
  </si>
  <si>
    <t>ERICK ANTONIO CISNE SILVA</t>
  </si>
  <si>
    <t>ESMERALDA DAYANA LOPEZ MATARRITA</t>
  </si>
  <si>
    <t>FRANKLIN ALI MENDOZA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</si>
  <si>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</si>
  <si>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</si>
  <si>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</si>
  <si>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</si>
  <si>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</si>
  <si>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</si>
  <si>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JORDAN ENRIQUE JIMENEZ GONZALES</t>
  </si>
  <si>
    <t>JORGE JOSE SILVA ESPINOZA</t>
  </si>
  <si>
    <t>JULIA MARIA ARRIETA EDUARTE</t>
  </si>
  <si>
    <t>KEISY DANIELA RUIZ RUIZ</t>
  </si>
  <si>
    <t>KIMBERLEEN PAOLA MOLINA SOTO</t>
  </si>
  <si>
    <t>LINDA LORENA GUEVARA TORRES</t>
  </si>
  <si>
    <t>MARCO GERVASINI MARTINEZ</t>
  </si>
  <si>
    <t>MARIA NELA HERNANDEZ GUTIERREZ</t>
  </si>
  <si>
    <t>MARIA TERESA SABALLO MAYORGA</t>
  </si>
  <si>
    <t>MARISELA DEL CARMEN MENDOZA CALERO</t>
  </si>
  <si>
    <t>NIELSI SELENE NAVARRETE GOMEZ</t>
  </si>
  <si>
    <t>ROSAURA CASTILLO ALVARADO</t>
  </si>
  <si>
    <t>VERONICA MEJIA GONZALES</t>
  </si>
  <si>
    <t>ZULEYMA RUIZ CAMPOS</t>
  </si>
  <si>
    <t>Total general</t>
  </si>
  <si>
    <t>Monto</t>
  </si>
  <si>
    <t>Aporte patronal CCSS</t>
  </si>
  <si>
    <t>CCSS  (10.83%)</t>
  </si>
  <si>
    <t>Feriado</t>
  </si>
  <si>
    <t>Horas Apoyo Esh</t>
  </si>
  <si>
    <t/>
  </si>
  <si>
    <t>Horas Extras Diurnas</t>
  </si>
  <si>
    <t>Horas Regulares Diurnas</t>
  </si>
  <si>
    <t>Incapacidad pagada medio tiempo</t>
  </si>
  <si>
    <t>Monto a pagar</t>
  </si>
  <si>
    <t>Prestamos</t>
  </si>
  <si>
    <t>Salario Bruto</t>
  </si>
  <si>
    <t>Salario Neto</t>
  </si>
  <si>
    <t>Service Tax Cocina</t>
  </si>
  <si>
    <t>Service Tax Salon + Tip tarjeta</t>
  </si>
  <si>
    <t>Trampas de Grasa</t>
  </si>
  <si>
    <t>NOMINA LA LUNA SEMANA 10-16 ABRIL 2026</t>
  </si>
  <si>
    <t>NOMINA COYOL SEM 10-16 ABRIL 2026</t>
  </si>
  <si>
    <t>Limpieza Coyol</t>
  </si>
  <si>
    <t>ALVARO LUIS PIÑAR JIMENEZ</t>
  </si>
  <si>
    <t>ANDRES TROCONIS ROMERO</t>
  </si>
  <si>
    <t>ANTHONY WRIGHT JIMENEZ</t>
  </si>
  <si>
    <t>AURORA MARIA PRENDAS HERNANDEZ</t>
  </si>
  <si>
    <t>GEORGE DANIEL LOPEZ GOMEZ</t>
  </si>
  <si>
    <t>JOHN FREISER LOPEZ JIMENEZ</t>
  </si>
  <si>
    <t>JOSE ALEJANDRO JUAREZ TREMINIO</t>
  </si>
  <si>
    <t>JOSE HUMBERTO VARGAS CALDERON</t>
  </si>
  <si>
    <t>LEINER RODRIGUEZ VILLALOBOS</t>
  </si>
  <si>
    <t>LUIS ALEJANDRO ARCE ALFARO</t>
  </si>
  <si>
    <t>MARIO ALBERTO CAMPOS CASTILLO</t>
  </si>
  <si>
    <t>MEYLING DE LOS ANGELES PINEDA PALACIOS</t>
  </si>
  <si>
    <t>MOISES DORMUZ CASTILLO</t>
  </si>
  <si>
    <t>SOFIA NATALIA CAMPOS BRENEZ</t>
  </si>
  <si>
    <t>YEFERSON JESUA RIVERA GUEVARA</t>
  </si>
  <si>
    <t>YORDANY DIAZ MATARRITA</t>
  </si>
  <si>
    <t>NOMINA ESH SEM 10-16 ABRIL 2026</t>
  </si>
  <si>
    <t>Uniformes de la Empresa</t>
  </si>
  <si>
    <t>ADRIANA MACIEL CRUZ CRUZ</t>
  </si>
  <si>
    <t>CARLOS CABRERA VEGA</t>
  </si>
  <si>
    <t>CHEIRY NICOLE PEREZ PEREZ</t>
  </si>
  <si>
    <t>DARIN TUGWELL RODRIGUEZ</t>
  </si>
  <si>
    <t>GABRIELA HERRERA MONTIEL</t>
  </si>
  <si>
    <t>GRISELL DAYANNA LOPEZ ALVAREZ</t>
  </si>
  <si>
    <t>JUAN RAMON CASTILLO ALVARADO</t>
  </si>
  <si>
    <t>MEYLING URBINA MARTINEZ</t>
  </si>
  <si>
    <t>RAUL RODRIGUEZ MONTIEL</t>
  </si>
  <si>
    <t>SILVIA PILAR RODRIGUEZ MATARRITA</t>
  </si>
  <si>
    <t>NOMINA ESPECIAL SEM 10-16 ABRIL 2026</t>
  </si>
  <si>
    <t>ELVIN JAVIER LOPEZ LOPEZ</t>
  </si>
  <si>
    <t>JASSON ESPINOZA MUÑOZ</t>
  </si>
  <si>
    <t>MIGUEL PILA TEMPORAL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</si>
</sst>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showGridLines="0" topLeftCell="A21" workbookViewId="0">
      <selection activeCell="H5" sqref="H5"/>
    </sheetView>
  </sheetViews>
  <sheetFormatPr baseColWidth="10" defaultRowHeight="14.4" x14ac:dyDescent="0.3"/>
  <cols>
    <col min="1" max="1" width="7.6640625" customWidth="1"/>
    <col min="2" max="2" width="5.88671875" customWidth="1"/>
    <col min="3" max="3" width="29.33203125" customWidth="1"/>
    <col min="4" max="4" width="15.6640625" bestFit="1" customWidth="1"/>
    <col min="5" max="7" width="14.33203125" customWidth="1"/>
    <col min="8" max="8" width="6.88671875" bestFit="1" customWidth="1"/>
    <col min="9" max="9" width="8.77734375" bestFit="1" customWidth="1"/>
    <col min="10" max="10" width="6.88671875" bestFit="1" customWidth="1"/>
    <col min="11" max="11" width="14.33203125" customWidth="1"/>
    <col min="12" max="12" width="8.77734375" bestFit="1" customWidth="1"/>
    <col min="13" max="13" width="14.33203125" customWidth="1"/>
    <col min="14" max="14" width="6.88671875" bestFit="1" customWidth="1"/>
    <col min="15" max="22" width="14.33203125" customWidth="1"/>
  </cols>
  <sheetData>
    <row r="1" spans="1:22" s="8" customFormat="1" ht="15" customHeight="1" x14ac:dyDescent="0.3">
      <c r="A1" s="3" t="s">
        <v>51</v>
      </c>
      <c r="B1" s="4"/>
      <c r="C1" s="5"/>
      <c r="D1" s="6"/>
      <c r="E1" s="6"/>
      <c r="F1" s="7" t="s">
        <v>38</v>
      </c>
      <c r="G1" s="7"/>
      <c r="H1" s="7" t="s">
        <v>39</v>
      </c>
      <c r="I1" s="7"/>
      <c r="J1" s="7" t="s">
        <v>41</v>
      </c>
      <c r="K1" s="7"/>
      <c r="L1" s="7" t="s">
        <v>42</v>
      </c>
      <c r="M1" s="7"/>
      <c r="N1" s="7" t="s">
        <v>43</v>
      </c>
      <c r="O1" s="7"/>
      <c r="P1" s="6" t="s">
        <v>45</v>
      </c>
      <c r="Q1" s="6" t="s">
        <v>46</v>
      </c>
      <c r="R1" s="6" t="s">
        <v>47</v>
      </c>
      <c r="S1" s="6" t="s">
        <v>48</v>
      </c>
      <c r="T1" s="6" t="s">
        <v>49</v>
      </c>
      <c r="U1" s="6" t="s">
        <v>50</v>
      </c>
      <c r="V1" s="6" t="s">
        <v>44</v>
      </c>
    </row>
    <row r="2" spans="1:22" s="8" customFormat="1" ht="15" customHeight="1" x14ac:dyDescent="0.3">
      <c r="A2" s="9" t="s">
        <v>1</v>
      </c>
      <c r="B2" s="9"/>
      <c r="C2" s="9"/>
      <c r="D2" s="10" t="s">
        <v>36</v>
      </c>
      <c r="E2" s="6" t="s">
        <v>37</v>
      </c>
      <c r="F2" s="10" t="s">
        <v>0</v>
      </c>
      <c r="G2" s="10" t="s">
        <v>35</v>
      </c>
      <c r="H2" s="10" t="s">
        <v>0</v>
      </c>
      <c r="I2" s="10" t="s">
        <v>35</v>
      </c>
      <c r="J2" s="10" t="s">
        <v>0</v>
      </c>
      <c r="K2" s="10" t="s">
        <v>35</v>
      </c>
      <c r="L2" s="10" t="s">
        <v>0</v>
      </c>
      <c r="M2" s="10" t="s">
        <v>35</v>
      </c>
      <c r="N2" s="10" t="s">
        <v>0</v>
      </c>
      <c r="O2" s="10" t="s">
        <v>35</v>
      </c>
      <c r="P2" s="10" t="s">
        <v>35</v>
      </c>
      <c r="Q2" s="10" t="s">
        <v>35</v>
      </c>
      <c r="R2" s="10" t="s">
        <v>35</v>
      </c>
      <c r="S2" s="10" t="s">
        <v>35</v>
      </c>
      <c r="T2" s="10" t="s">
        <v>35</v>
      </c>
      <c r="U2" s="10" t="s">
        <v>35</v>
      </c>
      <c r="V2" s="10" t="s">
        <v>35</v>
      </c>
    </row>
    <row r="3" spans="1:22" ht="15" customHeight="1" x14ac:dyDescent="0.3">
      <c r="A3" s="1" t="s">
        <v>2</v>
      </c>
      <c r="B3" s="1"/>
      <c r="C3" s="1"/>
      <c r="D3" s="2">
        <v>34249.839999999997</v>
      </c>
      <c r="E3" s="2">
        <v>13825.04</v>
      </c>
      <c r="F3" s="2">
        <v>8</v>
      </c>
      <c r="G3" s="2">
        <v>17600</v>
      </c>
      <c r="H3" s="2" t="s">
        <v>40</v>
      </c>
      <c r="I3" s="2" t="s">
        <v>40</v>
      </c>
      <c r="J3" s="2">
        <v>1.35</v>
      </c>
      <c r="K3" s="2">
        <v>4455</v>
      </c>
      <c r="L3" s="2">
        <v>48</v>
      </c>
      <c r="M3" s="2">
        <v>105600</v>
      </c>
      <c r="N3" s="2" t="s">
        <v>40</v>
      </c>
      <c r="O3" s="2" t="s">
        <v>40</v>
      </c>
      <c r="P3" s="2" t="s">
        <v>40</v>
      </c>
      <c r="Q3" s="2">
        <v>127655</v>
      </c>
      <c r="R3" s="2">
        <v>113829.96</v>
      </c>
      <c r="S3" s="2">
        <v>59948.65</v>
      </c>
      <c r="T3" s="2" t="s">
        <v>40</v>
      </c>
      <c r="U3" s="2" t="s">
        <v>40</v>
      </c>
      <c r="V3" s="2">
        <v>173778.61</v>
      </c>
    </row>
    <row r="4" spans="1:22" ht="15" customHeight="1" x14ac:dyDescent="0.3">
      <c r="A4" s="1" t="s">
        <v>3</v>
      </c>
      <c r="B4" s="1"/>
      <c r="C4" s="1"/>
      <c r="D4" s="2">
        <v>29700.81</v>
      </c>
      <c r="E4" s="2">
        <v>11988.81</v>
      </c>
      <c r="F4" s="2">
        <v>8</v>
      </c>
      <c r="G4" s="2">
        <v>16000</v>
      </c>
      <c r="H4" s="2" t="s">
        <v>40</v>
      </c>
      <c r="I4" s="2" t="s">
        <v>40</v>
      </c>
      <c r="J4" s="2">
        <v>0</v>
      </c>
      <c r="K4" s="2">
        <v>0</v>
      </c>
      <c r="L4" s="2">
        <v>45.85</v>
      </c>
      <c r="M4" s="2">
        <v>91700</v>
      </c>
      <c r="N4" s="2" t="s">
        <v>40</v>
      </c>
      <c r="O4" s="2" t="s">
        <v>40</v>
      </c>
      <c r="P4" s="2" t="s">
        <v>40</v>
      </c>
      <c r="Q4" s="2">
        <v>110700</v>
      </c>
      <c r="R4" s="2">
        <v>98711.19</v>
      </c>
      <c r="S4" s="2">
        <v>58016.44</v>
      </c>
      <c r="T4" s="2" t="s">
        <v>40</v>
      </c>
      <c r="U4" s="2">
        <v>3000</v>
      </c>
      <c r="V4" s="2">
        <v>156727.63</v>
      </c>
    </row>
    <row r="5" spans="1:22" ht="15" customHeight="1" x14ac:dyDescent="0.3">
      <c r="A5" s="1" t="s">
        <v>4</v>
      </c>
      <c r="B5" s="1"/>
      <c r="C5" s="1"/>
      <c r="D5" s="2">
        <v>36239.279999999999</v>
      </c>
      <c r="E5" s="2">
        <v>14628.08</v>
      </c>
      <c r="F5" s="2">
        <v>8</v>
      </c>
      <c r="G5" s="2">
        <v>20800</v>
      </c>
      <c r="H5" s="2" t="s">
        <v>40</v>
      </c>
      <c r="I5" s="2" t="s">
        <v>40</v>
      </c>
      <c r="J5" s="2">
        <v>0</v>
      </c>
      <c r="K5" s="2">
        <v>0</v>
      </c>
      <c r="L5" s="2">
        <v>43.95</v>
      </c>
      <c r="M5" s="2">
        <v>114270</v>
      </c>
      <c r="N5" s="2" t="s">
        <v>40</v>
      </c>
      <c r="O5" s="2" t="s">
        <v>40</v>
      </c>
      <c r="P5" s="2" t="s">
        <v>40</v>
      </c>
      <c r="Q5" s="2">
        <v>135070</v>
      </c>
      <c r="R5" s="2">
        <v>120441.92</v>
      </c>
      <c r="S5" s="2">
        <v>28534.98</v>
      </c>
      <c r="T5" s="2" t="s">
        <v>40</v>
      </c>
      <c r="U5" s="2" t="s">
        <v>40</v>
      </c>
      <c r="V5" s="2">
        <v>148976.9</v>
      </c>
    </row>
    <row r="6" spans="1:22" ht="15" customHeight="1" x14ac:dyDescent="0.3">
      <c r="A6" s="1" t="s">
        <v>5</v>
      </c>
      <c r="B6" s="1"/>
      <c r="C6" s="1"/>
      <c r="D6" s="2">
        <v>19901.099999999999</v>
      </c>
      <c r="E6" s="2">
        <v>8033.13</v>
      </c>
      <c r="F6" s="2">
        <v>8</v>
      </c>
      <c r="G6" s="2">
        <v>13216</v>
      </c>
      <c r="H6" s="2" t="s">
        <v>40</v>
      </c>
      <c r="I6" s="2" t="s">
        <v>40</v>
      </c>
      <c r="J6" s="2">
        <v>0</v>
      </c>
      <c r="K6" s="2">
        <v>0</v>
      </c>
      <c r="L6" s="2">
        <v>36.9</v>
      </c>
      <c r="M6" s="2">
        <v>60958.8</v>
      </c>
      <c r="N6" s="2" t="s">
        <v>40</v>
      </c>
      <c r="O6" s="2" t="s">
        <v>40</v>
      </c>
      <c r="P6" s="2" t="s">
        <v>40</v>
      </c>
      <c r="Q6" s="2">
        <v>74174.8</v>
      </c>
      <c r="R6" s="2">
        <v>66141.67</v>
      </c>
      <c r="S6" s="2" t="s">
        <v>40</v>
      </c>
      <c r="T6" s="2">
        <v>340990.88</v>
      </c>
      <c r="U6" s="2" t="s">
        <v>40</v>
      </c>
      <c r="V6" s="2">
        <v>407132.55</v>
      </c>
    </row>
    <row r="7" spans="1:22" ht="15" customHeight="1" x14ac:dyDescent="0.3">
      <c r="A7" s="1" t="s">
        <v>6</v>
      </c>
      <c r="B7" s="1"/>
      <c r="C7" s="1"/>
      <c r="D7" s="2">
        <v>18114.27</v>
      </c>
      <c r="E7" s="2">
        <v>7311.87</v>
      </c>
      <c r="F7" s="2">
        <v>8</v>
      </c>
      <c r="G7" s="2">
        <v>16800</v>
      </c>
      <c r="H7" s="2" t="s">
        <v>40</v>
      </c>
      <c r="I7" s="2" t="s">
        <v>40</v>
      </c>
      <c r="J7" s="2">
        <v>0</v>
      </c>
      <c r="K7" s="2">
        <v>0</v>
      </c>
      <c r="L7" s="2">
        <v>24.15</v>
      </c>
      <c r="M7" s="2">
        <v>50715</v>
      </c>
      <c r="N7" s="2" t="s">
        <v>40</v>
      </c>
      <c r="O7" s="2" t="s">
        <v>40</v>
      </c>
      <c r="P7" s="2" t="s">
        <v>40</v>
      </c>
      <c r="Q7" s="2">
        <v>67515</v>
      </c>
      <c r="R7" s="2">
        <v>60203.13</v>
      </c>
      <c r="S7" s="2" t="s">
        <v>40</v>
      </c>
      <c r="T7" s="2">
        <v>299446.7</v>
      </c>
      <c r="U7" s="2" t="s">
        <v>40</v>
      </c>
      <c r="V7" s="2">
        <v>359649.83</v>
      </c>
    </row>
    <row r="8" spans="1:22" ht="15" customHeight="1" x14ac:dyDescent="0.3">
      <c r="A8" s="1" t="s">
        <v>7</v>
      </c>
      <c r="B8" s="1"/>
      <c r="C8" s="1"/>
      <c r="D8" s="2">
        <v>36059.519999999997</v>
      </c>
      <c r="E8" s="2">
        <v>14555.52</v>
      </c>
      <c r="F8" s="2">
        <v>8</v>
      </c>
      <c r="G8" s="2">
        <v>19200</v>
      </c>
      <c r="H8" s="2" t="s">
        <v>40</v>
      </c>
      <c r="I8" s="2" t="s">
        <v>40</v>
      </c>
      <c r="J8" s="2">
        <v>0</v>
      </c>
      <c r="K8" s="2">
        <v>0</v>
      </c>
      <c r="L8" s="2">
        <v>48</v>
      </c>
      <c r="M8" s="2">
        <v>115200</v>
      </c>
      <c r="N8" s="2" t="s">
        <v>40</v>
      </c>
      <c r="O8" s="2" t="s">
        <v>40</v>
      </c>
      <c r="P8" s="2" t="s">
        <v>40</v>
      </c>
      <c r="Q8" s="2">
        <v>134400</v>
      </c>
      <c r="R8" s="2">
        <v>119844.48</v>
      </c>
      <c r="S8" s="2">
        <v>60702.76</v>
      </c>
      <c r="T8" s="2" t="s">
        <v>40</v>
      </c>
      <c r="U8" s="2" t="s">
        <v>40</v>
      </c>
      <c r="V8" s="2">
        <v>180547.24</v>
      </c>
    </row>
    <row r="9" spans="1:22" ht="15" customHeight="1" x14ac:dyDescent="0.3">
      <c r="A9" s="1" t="s">
        <v>8</v>
      </c>
      <c r="B9" s="1"/>
      <c r="C9" s="1"/>
      <c r="D9" s="2">
        <v>26561.7</v>
      </c>
      <c r="E9" s="2">
        <v>10721.7</v>
      </c>
      <c r="F9" s="2">
        <v>8</v>
      </c>
      <c r="G9" s="2">
        <v>16000</v>
      </c>
      <c r="H9" s="2">
        <f>I9/2200</f>
        <v>4.5</v>
      </c>
      <c r="I9" s="2">
        <v>9900</v>
      </c>
      <c r="J9" s="2">
        <v>0</v>
      </c>
      <c r="K9" s="2">
        <v>0</v>
      </c>
      <c r="L9" s="2">
        <v>36.549999999999997</v>
      </c>
      <c r="M9" s="2">
        <v>73100</v>
      </c>
      <c r="N9" s="2" t="s">
        <v>40</v>
      </c>
      <c r="O9" s="2" t="s">
        <v>40</v>
      </c>
      <c r="P9" s="2" t="s">
        <v>40</v>
      </c>
      <c r="Q9" s="2">
        <v>99000</v>
      </c>
      <c r="R9" s="2">
        <v>88278.3</v>
      </c>
      <c r="S9" s="2" t="s">
        <v>40</v>
      </c>
      <c r="T9" s="2">
        <v>311734.11</v>
      </c>
      <c r="U9" s="2" t="s">
        <v>40</v>
      </c>
      <c r="V9" s="2">
        <v>400012.41</v>
      </c>
    </row>
    <row r="10" spans="1:22" ht="15" customHeight="1" x14ac:dyDescent="0.3">
      <c r="A10" s="1" t="s">
        <v>9</v>
      </c>
      <c r="B10" s="1"/>
      <c r="C10" s="1"/>
      <c r="D10" s="2">
        <v>15402.3</v>
      </c>
      <c r="E10" s="2">
        <v>6217.18</v>
      </c>
      <c r="F10" s="2">
        <v>8</v>
      </c>
      <c r="G10" s="2">
        <v>13216</v>
      </c>
      <c r="H10" s="2" t="s">
        <v>40</v>
      </c>
      <c r="I10" s="2" t="s">
        <v>40</v>
      </c>
      <c r="J10" s="2">
        <v>0</v>
      </c>
      <c r="K10" s="2">
        <v>0</v>
      </c>
      <c r="L10" s="2">
        <v>26.75</v>
      </c>
      <c r="M10" s="2">
        <v>44191</v>
      </c>
      <c r="N10" s="2" t="s">
        <v>40</v>
      </c>
      <c r="O10" s="2" t="s">
        <v>40</v>
      </c>
      <c r="P10" s="2" t="s">
        <v>40</v>
      </c>
      <c r="Q10" s="2">
        <v>57407</v>
      </c>
      <c r="R10" s="2">
        <v>51189.82</v>
      </c>
      <c r="S10" s="2" t="s">
        <v>40</v>
      </c>
      <c r="T10" s="2">
        <v>281893.90000000002</v>
      </c>
      <c r="U10" s="2" t="s">
        <v>40</v>
      </c>
      <c r="V10" s="2">
        <v>333083.71999999997</v>
      </c>
    </row>
    <row r="11" spans="1:22" ht="15" customHeight="1" x14ac:dyDescent="0.3">
      <c r="A11" s="1" t="s">
        <v>10</v>
      </c>
      <c r="B11" s="1"/>
      <c r="C11" s="1"/>
      <c r="D11" s="2">
        <v>39064.480000000003</v>
      </c>
      <c r="E11" s="2">
        <v>15768.48</v>
      </c>
      <c r="F11" s="2">
        <v>8</v>
      </c>
      <c r="G11" s="2">
        <v>20800</v>
      </c>
      <c r="H11" s="2" t="s">
        <v>40</v>
      </c>
      <c r="I11" s="2" t="s">
        <v>40</v>
      </c>
      <c r="J11" s="2">
        <v>0</v>
      </c>
      <c r="K11" s="2">
        <v>0</v>
      </c>
      <c r="L11" s="2">
        <v>48</v>
      </c>
      <c r="M11" s="2">
        <v>124800</v>
      </c>
      <c r="N11" s="2" t="s">
        <v>40</v>
      </c>
      <c r="O11" s="2" t="s">
        <v>40</v>
      </c>
      <c r="P11" s="2" t="s">
        <v>40</v>
      </c>
      <c r="Q11" s="2">
        <v>145600</v>
      </c>
      <c r="R11" s="2">
        <v>129831.52</v>
      </c>
      <c r="S11" s="2">
        <v>58016.44</v>
      </c>
      <c r="T11" s="2" t="s">
        <v>40</v>
      </c>
      <c r="U11" s="2" t="s">
        <v>40</v>
      </c>
      <c r="V11" s="2">
        <v>187847.96</v>
      </c>
    </row>
    <row r="12" spans="1:22" ht="15" customHeight="1" x14ac:dyDescent="0.3">
      <c r="A12" s="1" t="s">
        <v>11</v>
      </c>
      <c r="B12" s="1"/>
      <c r="C12" s="1"/>
      <c r="D12" s="2">
        <v>41665.65</v>
      </c>
      <c r="E12" s="2">
        <v>16818.45</v>
      </c>
      <c r="F12" s="2">
        <v>8</v>
      </c>
      <c r="G12" s="2">
        <v>23200</v>
      </c>
      <c r="H12" s="2" t="s">
        <v>40</v>
      </c>
      <c r="I12" s="2" t="s">
        <v>40</v>
      </c>
      <c r="J12" s="2">
        <v>0</v>
      </c>
      <c r="K12" s="2">
        <v>0</v>
      </c>
      <c r="L12" s="2">
        <v>45.55</v>
      </c>
      <c r="M12" s="2">
        <v>132095</v>
      </c>
      <c r="N12" s="2" t="s">
        <v>40</v>
      </c>
      <c r="O12" s="2" t="s">
        <v>40</v>
      </c>
      <c r="P12" s="2" t="s">
        <v>40</v>
      </c>
      <c r="Q12" s="2">
        <v>155295</v>
      </c>
      <c r="R12" s="2">
        <v>138476.54999999999</v>
      </c>
      <c r="S12" s="2">
        <v>59053.8</v>
      </c>
      <c r="T12" s="2" t="s">
        <v>40</v>
      </c>
      <c r="U12" s="2" t="s">
        <v>40</v>
      </c>
      <c r="V12" s="2">
        <v>197530.35</v>
      </c>
    </row>
    <row r="13" spans="1:22" ht="15" customHeight="1" x14ac:dyDescent="0.3">
      <c r="A13" s="1" t="s">
        <v>12</v>
      </c>
      <c r="B13" s="1"/>
      <c r="C13" s="1"/>
      <c r="D13" s="2">
        <v>29083.72</v>
      </c>
      <c r="E13" s="2">
        <v>11739.72</v>
      </c>
      <c r="F13" s="2">
        <v>8</v>
      </c>
      <c r="G13" s="2">
        <v>16000</v>
      </c>
      <c r="H13" s="2" t="s">
        <v>40</v>
      </c>
      <c r="I13" s="2" t="s">
        <v>40</v>
      </c>
      <c r="J13" s="2">
        <v>0</v>
      </c>
      <c r="K13" s="2">
        <v>0</v>
      </c>
      <c r="L13" s="2">
        <v>46.2</v>
      </c>
      <c r="M13" s="2">
        <v>92400</v>
      </c>
      <c r="N13" s="2" t="s">
        <v>40</v>
      </c>
      <c r="O13" s="2" t="s">
        <v>40</v>
      </c>
      <c r="P13" s="2" t="s">
        <v>40</v>
      </c>
      <c r="Q13" s="2">
        <v>108400</v>
      </c>
      <c r="R13" s="2">
        <v>96660.28</v>
      </c>
      <c r="S13" s="2">
        <v>57365.82</v>
      </c>
      <c r="T13" s="2" t="s">
        <v>40</v>
      </c>
      <c r="U13" s="2" t="s">
        <v>40</v>
      </c>
      <c r="V13" s="2">
        <v>154026.1</v>
      </c>
    </row>
    <row r="14" spans="1:22" ht="15" customHeight="1" x14ac:dyDescent="0.3">
      <c r="A14" s="1" t="s">
        <v>13</v>
      </c>
      <c r="B14" s="1"/>
      <c r="C14" s="1"/>
      <c r="D14" s="2">
        <v>54894.18</v>
      </c>
      <c r="E14" s="2">
        <v>22158.18</v>
      </c>
      <c r="F14" s="2">
        <v>8</v>
      </c>
      <c r="G14" s="2">
        <v>19200</v>
      </c>
      <c r="H14" s="2" t="s">
        <v>40</v>
      </c>
      <c r="I14" s="2" t="s">
        <v>40</v>
      </c>
      <c r="J14" s="2">
        <v>7</v>
      </c>
      <c r="K14" s="2">
        <v>25200</v>
      </c>
      <c r="L14" s="2">
        <v>48</v>
      </c>
      <c r="M14" s="2">
        <v>115200</v>
      </c>
      <c r="N14" s="2" t="s">
        <v>40</v>
      </c>
      <c r="O14" s="2" t="s">
        <v>40</v>
      </c>
      <c r="P14" s="2" t="s">
        <v>40</v>
      </c>
      <c r="Q14" s="2">
        <v>204600</v>
      </c>
      <c r="R14" s="2">
        <v>182441.82</v>
      </c>
      <c r="S14" s="2">
        <v>56822.7</v>
      </c>
      <c r="T14" s="2" t="s">
        <v>40</v>
      </c>
      <c r="U14" s="2">
        <v>45000</v>
      </c>
      <c r="V14" s="2">
        <v>239264.52</v>
      </c>
    </row>
    <row r="15" spans="1:22" ht="15" customHeight="1" x14ac:dyDescent="0.3">
      <c r="A15" s="1" t="s">
        <v>14</v>
      </c>
      <c r="B15" s="1"/>
      <c r="C15" s="1"/>
      <c r="D15" s="2">
        <v>31667.45</v>
      </c>
      <c r="E15" s="2">
        <v>12782.65</v>
      </c>
      <c r="F15" s="2">
        <v>8</v>
      </c>
      <c r="G15" s="2">
        <v>17600</v>
      </c>
      <c r="H15" s="2" t="s">
        <v>40</v>
      </c>
      <c r="I15" s="2" t="s">
        <v>40</v>
      </c>
      <c r="J15" s="2">
        <v>0</v>
      </c>
      <c r="K15" s="2">
        <v>0</v>
      </c>
      <c r="L15" s="2">
        <v>45.65</v>
      </c>
      <c r="M15" s="2">
        <v>100430</v>
      </c>
      <c r="N15" s="2" t="s">
        <v>40</v>
      </c>
      <c r="O15" s="2" t="s">
        <v>40</v>
      </c>
      <c r="P15" s="2" t="s">
        <v>40</v>
      </c>
      <c r="Q15" s="2">
        <v>118030</v>
      </c>
      <c r="R15" s="2">
        <v>105247.35</v>
      </c>
      <c r="S15" s="2">
        <v>56822.7</v>
      </c>
      <c r="T15" s="2" t="s">
        <v>40</v>
      </c>
      <c r="U15" s="2" t="s">
        <v>40</v>
      </c>
      <c r="V15" s="2">
        <v>162070.04999999999</v>
      </c>
    </row>
    <row r="16" spans="1:22" ht="15" customHeight="1" x14ac:dyDescent="0.3">
      <c r="A16" s="1" t="s">
        <v>15</v>
      </c>
      <c r="B16" s="1"/>
      <c r="C16" s="1"/>
      <c r="D16" s="2">
        <v>46576.88</v>
      </c>
      <c r="E16" s="2">
        <v>18800.88</v>
      </c>
      <c r="F16" s="2">
        <v>8</v>
      </c>
      <c r="G16" s="2">
        <v>24800</v>
      </c>
      <c r="H16" s="2" t="s">
        <v>40</v>
      </c>
      <c r="I16" s="2" t="s">
        <v>40</v>
      </c>
      <c r="J16" s="2">
        <v>0</v>
      </c>
      <c r="K16" s="2">
        <v>0</v>
      </c>
      <c r="L16" s="2">
        <v>48</v>
      </c>
      <c r="M16" s="2">
        <v>148800</v>
      </c>
      <c r="N16" s="2" t="s">
        <v>40</v>
      </c>
      <c r="O16" s="2" t="s">
        <v>40</v>
      </c>
      <c r="P16" s="2" t="s">
        <v>40</v>
      </c>
      <c r="Q16" s="2">
        <v>173600</v>
      </c>
      <c r="R16" s="2">
        <v>154799.12</v>
      </c>
      <c r="S16" s="2" t="s">
        <v>40</v>
      </c>
      <c r="T16" s="2">
        <v>502929.06</v>
      </c>
      <c r="U16" s="2" t="s">
        <v>40</v>
      </c>
      <c r="V16" s="2">
        <v>657728.18000000005</v>
      </c>
    </row>
    <row r="17" spans="1:22" ht="15" customHeight="1" x14ac:dyDescent="0.3">
      <c r="A17" s="1" t="s">
        <v>16</v>
      </c>
      <c r="B17" s="1"/>
      <c r="C17" s="1"/>
      <c r="D17" s="2">
        <v>23424.79</v>
      </c>
      <c r="E17" s="2">
        <v>9455.48</v>
      </c>
      <c r="F17" s="2">
        <v>8</v>
      </c>
      <c r="G17" s="2">
        <v>13216</v>
      </c>
      <c r="H17" s="2" t="s">
        <v>40</v>
      </c>
      <c r="I17" s="2" t="s">
        <v>40</v>
      </c>
      <c r="J17" s="2">
        <v>0</v>
      </c>
      <c r="K17" s="2">
        <v>0</v>
      </c>
      <c r="L17" s="2">
        <v>44.85</v>
      </c>
      <c r="M17" s="2">
        <v>74092.2</v>
      </c>
      <c r="N17" s="2" t="s">
        <v>40</v>
      </c>
      <c r="O17" s="2" t="s">
        <v>40</v>
      </c>
      <c r="P17" s="2">
        <v>50000</v>
      </c>
      <c r="Q17" s="2">
        <v>87308.2</v>
      </c>
      <c r="R17" s="2">
        <v>27852.720000000001</v>
      </c>
      <c r="S17" s="2" t="s">
        <v>40</v>
      </c>
      <c r="T17" s="2">
        <v>536793.72</v>
      </c>
      <c r="U17" s="2" t="s">
        <v>40</v>
      </c>
      <c r="V17" s="2">
        <v>564646.43999999994</v>
      </c>
    </row>
    <row r="18" spans="1:22" ht="15" customHeight="1" x14ac:dyDescent="0.3">
      <c r="A18" s="1" t="s">
        <v>17</v>
      </c>
      <c r="B18" s="1"/>
      <c r="C18" s="1"/>
      <c r="D18" s="2">
        <v>44269.5</v>
      </c>
      <c r="E18" s="2">
        <v>17869.5</v>
      </c>
      <c r="F18" s="2">
        <v>8</v>
      </c>
      <c r="G18" s="2">
        <v>24000</v>
      </c>
      <c r="H18" s="2" t="s">
        <v>40</v>
      </c>
      <c r="I18" s="2" t="s">
        <v>40</v>
      </c>
      <c r="J18" s="2">
        <v>0</v>
      </c>
      <c r="K18" s="2">
        <v>0</v>
      </c>
      <c r="L18" s="2">
        <v>47</v>
      </c>
      <c r="M18" s="2">
        <v>141000</v>
      </c>
      <c r="N18" s="2" t="s">
        <v>40</v>
      </c>
      <c r="O18" s="2" t="s">
        <v>40</v>
      </c>
      <c r="P18" s="2" t="s">
        <v>40</v>
      </c>
      <c r="Q18" s="2">
        <v>165000</v>
      </c>
      <c r="R18" s="2">
        <v>147130.5</v>
      </c>
      <c r="S18" s="2">
        <v>57365.82</v>
      </c>
      <c r="T18" s="2" t="s">
        <v>40</v>
      </c>
      <c r="U18" s="2" t="s">
        <v>40</v>
      </c>
      <c r="V18" s="2">
        <v>204496.32</v>
      </c>
    </row>
    <row r="19" spans="1:22" ht="15" customHeight="1" x14ac:dyDescent="0.3">
      <c r="A19" s="1" t="s">
        <v>18</v>
      </c>
      <c r="B19" s="1"/>
      <c r="C19" s="1"/>
      <c r="D19" s="2">
        <v>15864.58</v>
      </c>
      <c r="E19" s="2">
        <v>6403.78</v>
      </c>
      <c r="F19" s="2">
        <v>8</v>
      </c>
      <c r="G19" s="2">
        <v>14400</v>
      </c>
      <c r="H19" s="2"/>
      <c r="I19" s="2"/>
      <c r="J19" s="2">
        <v>0</v>
      </c>
      <c r="K19" s="2">
        <v>0</v>
      </c>
      <c r="L19" s="2">
        <v>24.85</v>
      </c>
      <c r="M19" s="2">
        <v>44730</v>
      </c>
      <c r="N19" s="2" t="s">
        <v>40</v>
      </c>
      <c r="O19" s="2" t="s">
        <v>40</v>
      </c>
      <c r="P19" s="2" t="s">
        <v>40</v>
      </c>
      <c r="Q19" s="2">
        <v>59130</v>
      </c>
      <c r="R19" s="2">
        <v>52726.22</v>
      </c>
      <c r="S19" s="2" t="s">
        <v>40</v>
      </c>
      <c r="T19" s="2">
        <v>299740.68</v>
      </c>
      <c r="U19" s="2" t="s">
        <v>40</v>
      </c>
      <c r="V19" s="2">
        <v>352466.9</v>
      </c>
    </row>
    <row r="20" spans="1:22" ht="15" customHeight="1" x14ac:dyDescent="0.3">
      <c r="A20" s="1" t="s">
        <v>19</v>
      </c>
      <c r="B20" s="1"/>
      <c r="C20" s="1"/>
      <c r="D20" s="2">
        <v>12986.69</v>
      </c>
      <c r="E20" s="2">
        <v>5242.1099999999997</v>
      </c>
      <c r="F20" s="2">
        <v>8</v>
      </c>
      <c r="G20" s="2">
        <v>13216</v>
      </c>
      <c r="H20" s="2" t="s">
        <v>40</v>
      </c>
      <c r="I20" s="2" t="s">
        <v>40</v>
      </c>
      <c r="J20" s="2">
        <v>0</v>
      </c>
      <c r="K20" s="2">
        <v>0</v>
      </c>
      <c r="L20" s="2">
        <v>21.3</v>
      </c>
      <c r="M20" s="2">
        <v>35187.599999999999</v>
      </c>
      <c r="N20" s="2" t="s">
        <v>40</v>
      </c>
      <c r="O20" s="2" t="s">
        <v>40</v>
      </c>
      <c r="P20" s="2" t="s">
        <v>40</v>
      </c>
      <c r="Q20" s="2">
        <v>48403.6</v>
      </c>
      <c r="R20" s="2">
        <v>43161.49</v>
      </c>
      <c r="S20" s="2" t="s">
        <v>40</v>
      </c>
      <c r="T20" s="2">
        <v>173168.28</v>
      </c>
      <c r="U20" s="2" t="s">
        <v>40</v>
      </c>
      <c r="V20" s="2">
        <v>216329.77</v>
      </c>
    </row>
    <row r="21" spans="1:22" ht="15" customHeight="1" x14ac:dyDescent="0.3">
      <c r="A21" s="1" t="s">
        <v>20</v>
      </c>
      <c r="B21" s="1"/>
      <c r="C21" s="1"/>
      <c r="D21" s="2">
        <v>37058.94</v>
      </c>
      <c r="E21" s="2">
        <v>14958.94</v>
      </c>
      <c r="F21" s="2">
        <v>8</v>
      </c>
      <c r="G21" s="2">
        <v>20000</v>
      </c>
      <c r="H21" s="2" t="s">
        <v>40</v>
      </c>
      <c r="I21" s="2" t="s">
        <v>40</v>
      </c>
      <c r="J21" s="2">
        <v>0</v>
      </c>
      <c r="K21" s="2">
        <v>0</v>
      </c>
      <c r="L21" s="2">
        <v>47.25</v>
      </c>
      <c r="M21" s="2">
        <v>118125</v>
      </c>
      <c r="N21" s="2" t="s">
        <v>40</v>
      </c>
      <c r="O21" s="2" t="s">
        <v>40</v>
      </c>
      <c r="P21" s="2" t="s">
        <v>40</v>
      </c>
      <c r="Q21" s="2">
        <v>138125</v>
      </c>
      <c r="R21" s="2">
        <v>123166.06</v>
      </c>
      <c r="S21" s="2">
        <v>29809.74</v>
      </c>
      <c r="T21" s="2" t="s">
        <v>40</v>
      </c>
      <c r="U21" s="2" t="s">
        <v>40</v>
      </c>
      <c r="V21" s="2">
        <v>152975.79999999999</v>
      </c>
    </row>
    <row r="22" spans="1:22" ht="15" customHeight="1" x14ac:dyDescent="0.3">
      <c r="A22" s="1" t="s">
        <v>21</v>
      </c>
      <c r="B22" s="1"/>
      <c r="C22" s="1"/>
      <c r="D22" s="2">
        <v>45079.77</v>
      </c>
      <c r="E22" s="2">
        <v>18196.57</v>
      </c>
      <c r="F22" s="2">
        <v>8</v>
      </c>
      <c r="G22" s="2">
        <v>24800</v>
      </c>
      <c r="H22" s="2" t="s">
        <v>40</v>
      </c>
      <c r="I22" s="2" t="s">
        <v>40</v>
      </c>
      <c r="J22" s="2">
        <v>0</v>
      </c>
      <c r="K22" s="2">
        <v>0</v>
      </c>
      <c r="L22" s="2">
        <v>46.2</v>
      </c>
      <c r="M22" s="2">
        <v>143220</v>
      </c>
      <c r="N22" s="2" t="s">
        <v>40</v>
      </c>
      <c r="O22" s="2" t="s">
        <v>40</v>
      </c>
      <c r="P22" s="2">
        <v>25000</v>
      </c>
      <c r="Q22" s="2">
        <v>168020</v>
      </c>
      <c r="R22" s="2">
        <v>124823.43</v>
      </c>
      <c r="S22" s="2">
        <v>59948.65</v>
      </c>
      <c r="T22" s="2" t="s">
        <v>40</v>
      </c>
      <c r="U22" s="2" t="s">
        <v>40</v>
      </c>
      <c r="V22" s="2">
        <v>184772.08</v>
      </c>
    </row>
    <row r="23" spans="1:22" ht="15" customHeight="1" x14ac:dyDescent="0.3">
      <c r="A23" s="1" t="s">
        <v>22</v>
      </c>
      <c r="B23" s="1"/>
      <c r="C23" s="1"/>
      <c r="D23" s="2">
        <v>47066.53</v>
      </c>
      <c r="E23" s="2">
        <v>18998.53</v>
      </c>
      <c r="F23" s="2">
        <v>8</v>
      </c>
      <c r="G23" s="2">
        <v>24000</v>
      </c>
      <c r="H23" s="2" t="s">
        <v>40</v>
      </c>
      <c r="I23" s="2" t="s">
        <v>40</v>
      </c>
      <c r="J23" s="2">
        <v>1.65</v>
      </c>
      <c r="K23" s="2">
        <v>7425</v>
      </c>
      <c r="L23" s="2">
        <v>48</v>
      </c>
      <c r="M23" s="2">
        <v>144000</v>
      </c>
      <c r="N23" s="2" t="s">
        <v>40</v>
      </c>
      <c r="O23" s="2" t="s">
        <v>40</v>
      </c>
      <c r="P23" s="2" t="s">
        <v>40</v>
      </c>
      <c r="Q23" s="2">
        <v>175425</v>
      </c>
      <c r="R23" s="2">
        <v>156426.47</v>
      </c>
      <c r="S23" s="2" t="s">
        <v>40</v>
      </c>
      <c r="T23" s="2">
        <v>372487.45</v>
      </c>
      <c r="U23" s="2" t="s">
        <v>40</v>
      </c>
      <c r="V23" s="2">
        <v>528913.92000000004</v>
      </c>
    </row>
    <row r="24" spans="1:22" ht="15" customHeight="1" x14ac:dyDescent="0.3">
      <c r="A24" s="1" t="s">
        <v>23</v>
      </c>
      <c r="B24" s="1"/>
      <c r="C24" s="1"/>
      <c r="D24" s="2">
        <v>18083.849999999999</v>
      </c>
      <c r="E24" s="2">
        <v>7299.59</v>
      </c>
      <c r="F24" s="2">
        <v>8</v>
      </c>
      <c r="G24" s="2">
        <v>13216</v>
      </c>
      <c r="H24" s="2" t="s">
        <v>40</v>
      </c>
      <c r="I24" s="2" t="s">
        <v>40</v>
      </c>
      <c r="J24" s="2">
        <v>0</v>
      </c>
      <c r="K24" s="2">
        <v>0</v>
      </c>
      <c r="L24" s="2">
        <v>32.799999999999997</v>
      </c>
      <c r="M24" s="2">
        <v>54185.599999999999</v>
      </c>
      <c r="N24" s="2" t="s">
        <v>40</v>
      </c>
      <c r="O24" s="2" t="s">
        <v>40</v>
      </c>
      <c r="P24" s="2" t="s">
        <v>40</v>
      </c>
      <c r="Q24" s="2">
        <v>67401.600000000006</v>
      </c>
      <c r="R24" s="2">
        <v>60102.01</v>
      </c>
      <c r="S24" s="2" t="s">
        <v>40</v>
      </c>
      <c r="T24" s="2">
        <v>450750.59</v>
      </c>
      <c r="U24" s="2" t="s">
        <v>40</v>
      </c>
      <c r="V24" s="2">
        <v>510852.6</v>
      </c>
    </row>
    <row r="25" spans="1:22" ht="15" customHeight="1" x14ac:dyDescent="0.3">
      <c r="A25" s="1" t="s">
        <v>24</v>
      </c>
      <c r="B25" s="1"/>
      <c r="C25" s="1"/>
      <c r="D25" s="2">
        <v>18504.919999999998</v>
      </c>
      <c r="E25" s="2">
        <v>7469.56</v>
      </c>
      <c r="F25" s="2">
        <v>8</v>
      </c>
      <c r="G25" s="2">
        <v>13216</v>
      </c>
      <c r="H25" s="2" t="s">
        <v>40</v>
      </c>
      <c r="I25" s="2" t="s">
        <v>40</v>
      </c>
      <c r="J25" s="2">
        <v>0</v>
      </c>
      <c r="K25" s="2">
        <v>0</v>
      </c>
      <c r="L25" s="2">
        <v>33.75</v>
      </c>
      <c r="M25" s="2">
        <v>55755</v>
      </c>
      <c r="N25" s="2" t="s">
        <v>40</v>
      </c>
      <c r="O25" s="2" t="s">
        <v>40</v>
      </c>
      <c r="P25" s="2" t="s">
        <v>40</v>
      </c>
      <c r="Q25" s="2">
        <v>68971</v>
      </c>
      <c r="R25" s="2">
        <v>61501.440000000002</v>
      </c>
      <c r="S25" s="2" t="s">
        <v>40</v>
      </c>
      <c r="T25" s="2">
        <v>454778.38</v>
      </c>
      <c r="U25" s="2" t="s">
        <v>40</v>
      </c>
      <c r="V25" s="2">
        <v>516279.82</v>
      </c>
    </row>
    <row r="26" spans="1:22" ht="15" customHeight="1" x14ac:dyDescent="0.3">
      <c r="A26" s="1" t="s">
        <v>25</v>
      </c>
      <c r="B26" s="1"/>
      <c r="C26" s="1"/>
      <c r="D26" s="2">
        <v>37669.32</v>
      </c>
      <c r="E26" s="2">
        <v>15205.32</v>
      </c>
      <c r="F26" s="2">
        <v>8</v>
      </c>
      <c r="G26" s="2">
        <v>21600</v>
      </c>
      <c r="H26" s="2" t="s">
        <v>40</v>
      </c>
      <c r="I26" s="2" t="s">
        <v>40</v>
      </c>
      <c r="J26" s="2">
        <v>0</v>
      </c>
      <c r="K26" s="2">
        <v>0</v>
      </c>
      <c r="L26" s="2">
        <v>40</v>
      </c>
      <c r="M26" s="2">
        <v>108000</v>
      </c>
      <c r="N26" s="2">
        <v>8</v>
      </c>
      <c r="O26" s="2">
        <v>10800</v>
      </c>
      <c r="P26" s="2" t="s">
        <v>40</v>
      </c>
      <c r="Q26" s="2">
        <v>140400</v>
      </c>
      <c r="R26" s="2">
        <v>125194.68</v>
      </c>
      <c r="S26" s="2">
        <v>46034.080000000002</v>
      </c>
      <c r="T26" s="2" t="s">
        <v>40</v>
      </c>
      <c r="U26" s="2" t="s">
        <v>40</v>
      </c>
      <c r="V26" s="2">
        <v>171228.76</v>
      </c>
    </row>
    <row r="27" spans="1:22" ht="15" customHeight="1" x14ac:dyDescent="0.3">
      <c r="A27" s="1" t="s">
        <v>26</v>
      </c>
      <c r="B27" s="1"/>
      <c r="C27" s="1"/>
      <c r="D27" s="2">
        <v>48079.360000000001</v>
      </c>
      <c r="E27" s="2">
        <v>19407.36</v>
      </c>
      <c r="F27" s="2">
        <v>8</v>
      </c>
      <c r="G27" s="2">
        <v>25600</v>
      </c>
      <c r="H27" s="2" t="s">
        <v>40</v>
      </c>
      <c r="I27" s="2" t="s">
        <v>40</v>
      </c>
      <c r="J27" s="2">
        <v>0</v>
      </c>
      <c r="K27" s="2">
        <v>0</v>
      </c>
      <c r="L27" s="2">
        <v>48</v>
      </c>
      <c r="M27" s="2">
        <v>153600</v>
      </c>
      <c r="N27" s="2" t="s">
        <v>40</v>
      </c>
      <c r="O27" s="2" t="s">
        <v>40</v>
      </c>
      <c r="P27" s="2" t="s">
        <v>40</v>
      </c>
      <c r="Q27" s="2">
        <v>179200</v>
      </c>
      <c r="R27" s="2">
        <v>159792.64000000001</v>
      </c>
      <c r="S27" s="2">
        <v>60702.76</v>
      </c>
      <c r="T27" s="2" t="s">
        <v>40</v>
      </c>
      <c r="U27" s="2" t="s">
        <v>40</v>
      </c>
      <c r="V27" s="2">
        <v>220495.4</v>
      </c>
    </row>
    <row r="28" spans="1:22" ht="15" customHeight="1" x14ac:dyDescent="0.3">
      <c r="A28" s="1" t="s">
        <v>27</v>
      </c>
      <c r="B28" s="1"/>
      <c r="C28" s="1"/>
      <c r="D28" s="2">
        <v>40566.959999999999</v>
      </c>
      <c r="E28" s="2">
        <v>16374.96</v>
      </c>
      <c r="F28" s="2">
        <v>8</v>
      </c>
      <c r="G28" s="2">
        <v>21600</v>
      </c>
      <c r="H28" s="2" t="s">
        <v>40</v>
      </c>
      <c r="I28" s="2" t="s">
        <v>40</v>
      </c>
      <c r="J28" s="2">
        <v>0</v>
      </c>
      <c r="K28" s="2">
        <v>0</v>
      </c>
      <c r="L28" s="2">
        <v>48</v>
      </c>
      <c r="M28" s="2">
        <v>129600</v>
      </c>
      <c r="N28" s="2" t="s">
        <v>40</v>
      </c>
      <c r="O28" s="2" t="s">
        <v>40</v>
      </c>
      <c r="P28" s="2" t="s">
        <v>40</v>
      </c>
      <c r="Q28" s="2">
        <v>151200</v>
      </c>
      <c r="R28" s="2">
        <v>134825.04</v>
      </c>
      <c r="S28" s="2">
        <v>58016.44</v>
      </c>
      <c r="T28" s="2" t="s">
        <v>40</v>
      </c>
      <c r="U28" s="2" t="s">
        <v>40</v>
      </c>
      <c r="V28" s="2">
        <v>192841.48</v>
      </c>
    </row>
    <row r="29" spans="1:22" ht="15" customHeight="1" x14ac:dyDescent="0.3">
      <c r="A29" s="1" t="s">
        <v>28</v>
      </c>
      <c r="B29" s="1"/>
      <c r="C29" s="1"/>
      <c r="D29" s="2">
        <v>32397.23</v>
      </c>
      <c r="E29" s="2">
        <v>13077.23</v>
      </c>
      <c r="F29" s="2">
        <v>8</v>
      </c>
      <c r="G29" s="2">
        <v>16800</v>
      </c>
      <c r="H29" s="2" t="s">
        <v>40</v>
      </c>
      <c r="I29" s="2" t="s">
        <v>40</v>
      </c>
      <c r="J29" s="2">
        <v>1</v>
      </c>
      <c r="K29" s="2">
        <v>3150</v>
      </c>
      <c r="L29" s="2">
        <v>48</v>
      </c>
      <c r="M29" s="2">
        <v>100800</v>
      </c>
      <c r="N29" s="2" t="s">
        <v>40</v>
      </c>
      <c r="O29" s="2" t="s">
        <v>40</v>
      </c>
      <c r="P29" s="2" t="s">
        <v>40</v>
      </c>
      <c r="Q29" s="2">
        <v>120750</v>
      </c>
      <c r="R29" s="2">
        <v>107672.77</v>
      </c>
      <c r="S29" s="2">
        <v>60702.76</v>
      </c>
      <c r="T29" s="2" t="s">
        <v>40</v>
      </c>
      <c r="U29" s="2" t="s">
        <v>40</v>
      </c>
      <c r="V29" s="2">
        <v>168375.53</v>
      </c>
    </row>
    <row r="30" spans="1:22" ht="15" customHeight="1" x14ac:dyDescent="0.3">
      <c r="A30" s="1" t="s">
        <v>29</v>
      </c>
      <c r="B30" s="1"/>
      <c r="C30" s="1"/>
      <c r="D30" s="2">
        <v>27333.06</v>
      </c>
      <c r="E30" s="2">
        <v>11033.06</v>
      </c>
      <c r="F30" s="2">
        <v>8</v>
      </c>
      <c r="G30" s="2">
        <v>20000</v>
      </c>
      <c r="H30" s="2" t="s">
        <v>40</v>
      </c>
      <c r="I30" s="2" t="s">
        <v>40</v>
      </c>
      <c r="J30" s="2">
        <v>0</v>
      </c>
      <c r="K30" s="2">
        <v>0</v>
      </c>
      <c r="L30" s="2">
        <v>32.75</v>
      </c>
      <c r="M30" s="2">
        <v>81875</v>
      </c>
      <c r="N30" s="2" t="s">
        <v>40</v>
      </c>
      <c r="O30" s="2" t="s">
        <v>40</v>
      </c>
      <c r="P30" s="2" t="s">
        <v>40</v>
      </c>
      <c r="Q30" s="2">
        <v>101875</v>
      </c>
      <c r="R30" s="2">
        <v>90841.94</v>
      </c>
      <c r="S30" s="2">
        <v>19966.29</v>
      </c>
      <c r="T30" s="2" t="s">
        <v>40</v>
      </c>
      <c r="U30" s="2" t="s">
        <v>40</v>
      </c>
      <c r="V30" s="2">
        <v>110808.23</v>
      </c>
    </row>
    <row r="31" spans="1:22" ht="15" customHeight="1" x14ac:dyDescent="0.3">
      <c r="A31" s="1" t="s">
        <v>30</v>
      </c>
      <c r="B31" s="1"/>
      <c r="C31" s="1"/>
      <c r="D31" s="2">
        <v>15668.24</v>
      </c>
      <c r="E31" s="2">
        <v>6324.53</v>
      </c>
      <c r="F31" s="2">
        <v>8</v>
      </c>
      <c r="G31" s="2">
        <v>13216</v>
      </c>
      <c r="H31" s="2" t="s">
        <v>40</v>
      </c>
      <c r="I31" s="2" t="s">
        <v>40</v>
      </c>
      <c r="J31" s="2">
        <v>0</v>
      </c>
      <c r="K31" s="2">
        <v>0</v>
      </c>
      <c r="L31" s="2">
        <v>27.35</v>
      </c>
      <c r="M31" s="2">
        <v>45182.2</v>
      </c>
      <c r="N31" s="2" t="s">
        <v>40</v>
      </c>
      <c r="O31" s="2" t="s">
        <v>40</v>
      </c>
      <c r="P31" s="2" t="s">
        <v>40</v>
      </c>
      <c r="Q31" s="2">
        <v>58398.2</v>
      </c>
      <c r="R31" s="2">
        <v>52073.67</v>
      </c>
      <c r="S31" s="2" t="s">
        <v>40</v>
      </c>
      <c r="T31" s="2">
        <v>253814.88</v>
      </c>
      <c r="U31" s="2" t="s">
        <v>40</v>
      </c>
      <c r="V31" s="2">
        <v>305888.55</v>
      </c>
    </row>
    <row r="32" spans="1:22" ht="15" customHeight="1" x14ac:dyDescent="0.3">
      <c r="A32" s="1" t="s">
        <v>31</v>
      </c>
      <c r="B32" s="1"/>
      <c r="C32" s="1"/>
      <c r="D32" s="2">
        <v>29110.55</v>
      </c>
      <c r="E32" s="2">
        <v>11750.55</v>
      </c>
      <c r="F32" s="2">
        <v>8</v>
      </c>
      <c r="G32" s="2">
        <v>16000</v>
      </c>
      <c r="H32" s="2" t="s">
        <v>40</v>
      </c>
      <c r="I32" s="2" t="s">
        <v>40</v>
      </c>
      <c r="J32" s="2">
        <v>0</v>
      </c>
      <c r="K32" s="2">
        <v>0</v>
      </c>
      <c r="L32" s="2">
        <v>46.25</v>
      </c>
      <c r="M32" s="2">
        <v>92500</v>
      </c>
      <c r="N32" s="2" t="s">
        <v>40</v>
      </c>
      <c r="O32" s="2" t="s">
        <v>40</v>
      </c>
      <c r="P32" s="2" t="s">
        <v>40</v>
      </c>
      <c r="Q32" s="2">
        <v>108500</v>
      </c>
      <c r="R32" s="2">
        <v>96749.45</v>
      </c>
      <c r="S32" s="2" t="s">
        <v>40</v>
      </c>
      <c r="T32" s="2">
        <v>435287.47</v>
      </c>
      <c r="U32" s="2" t="s">
        <v>40</v>
      </c>
      <c r="V32" s="2">
        <v>532036.92000000004</v>
      </c>
    </row>
    <row r="33" spans="1:22" ht="15" customHeight="1" x14ac:dyDescent="0.3">
      <c r="A33" s="1" t="s">
        <v>32</v>
      </c>
      <c r="B33" s="1"/>
      <c r="C33" s="1"/>
      <c r="D33" s="2">
        <v>19147.61</v>
      </c>
      <c r="E33" s="2">
        <v>7728.98</v>
      </c>
      <c r="F33" s="2">
        <v>8</v>
      </c>
      <c r="G33" s="2">
        <v>13216</v>
      </c>
      <c r="H33" s="2" t="s">
        <v>40</v>
      </c>
      <c r="I33" s="2" t="s">
        <v>40</v>
      </c>
      <c r="J33" s="2">
        <v>0</v>
      </c>
      <c r="K33" s="2">
        <v>0</v>
      </c>
      <c r="L33" s="2">
        <v>35.200000000000003</v>
      </c>
      <c r="M33" s="2">
        <v>58150.400000000001</v>
      </c>
      <c r="N33" s="2" t="s">
        <v>40</v>
      </c>
      <c r="O33" s="2" t="s">
        <v>40</v>
      </c>
      <c r="P33" s="2" t="s">
        <v>40</v>
      </c>
      <c r="Q33" s="2">
        <v>71366.399999999994</v>
      </c>
      <c r="R33" s="2">
        <v>63637.42</v>
      </c>
      <c r="S33" s="2" t="s">
        <v>40</v>
      </c>
      <c r="T33" s="2">
        <v>459593.39</v>
      </c>
      <c r="U33" s="2" t="s">
        <v>40</v>
      </c>
      <c r="V33" s="2">
        <v>523230.81</v>
      </c>
    </row>
    <row r="34" spans="1:22" ht="15" customHeight="1" x14ac:dyDescent="0.3">
      <c r="A34" s="1" t="s">
        <v>33</v>
      </c>
      <c r="B34" s="1"/>
      <c r="C34" s="1"/>
      <c r="D34" s="2">
        <v>26293.4</v>
      </c>
      <c r="E34" s="2">
        <v>10613.4</v>
      </c>
      <c r="F34" s="2">
        <v>8</v>
      </c>
      <c r="G34" s="2">
        <v>16000</v>
      </c>
      <c r="H34" s="2" t="s">
        <v>40</v>
      </c>
      <c r="I34" s="2" t="s">
        <v>40</v>
      </c>
      <c r="J34" s="2">
        <v>0</v>
      </c>
      <c r="K34" s="2">
        <v>0</v>
      </c>
      <c r="L34" s="2">
        <v>41</v>
      </c>
      <c r="M34" s="2">
        <v>82000</v>
      </c>
      <c r="N34" s="2" t="s">
        <v>40</v>
      </c>
      <c r="O34" s="2" t="s">
        <v>40</v>
      </c>
      <c r="P34" s="2" t="s">
        <v>40</v>
      </c>
      <c r="Q34" s="2">
        <v>98000</v>
      </c>
      <c r="R34" s="2">
        <v>87386.6</v>
      </c>
      <c r="S34" s="2">
        <v>34642.080000000002</v>
      </c>
      <c r="T34" s="2" t="s">
        <v>40</v>
      </c>
      <c r="U34" s="2" t="s">
        <v>40</v>
      </c>
      <c r="V34" s="2">
        <v>122028.68</v>
      </c>
    </row>
    <row r="35" spans="1:22" ht="15" customHeight="1" x14ac:dyDescent="0.3">
      <c r="A35" s="1" t="s">
        <v>34</v>
      </c>
      <c r="B35" s="1"/>
      <c r="C35" s="1"/>
      <c r="D35" s="2">
        <v>997786.48</v>
      </c>
      <c r="E35" s="2">
        <v>402759.14</v>
      </c>
      <c r="F35" s="2">
        <v>256</v>
      </c>
      <c r="G35" s="2">
        <v>578528</v>
      </c>
      <c r="H35" s="2">
        <v>4.5</v>
      </c>
      <c r="I35" s="2">
        <v>9900</v>
      </c>
      <c r="J35" s="2">
        <v>11</v>
      </c>
      <c r="K35" s="2">
        <v>40230</v>
      </c>
      <c r="L35" s="2">
        <v>1304.0999999999999</v>
      </c>
      <c r="M35" s="2">
        <v>3031462.8</v>
      </c>
      <c r="N35" s="2">
        <v>8</v>
      </c>
      <c r="O35" s="2">
        <v>10800</v>
      </c>
      <c r="P35" s="2">
        <v>75000</v>
      </c>
      <c r="Q35" s="2">
        <v>3718920.8</v>
      </c>
      <c r="R35" s="2">
        <v>3241161.66</v>
      </c>
      <c r="S35" s="2">
        <v>922472.91</v>
      </c>
      <c r="T35" s="2">
        <v>5173409.49</v>
      </c>
      <c r="U35" s="2">
        <v>48000</v>
      </c>
      <c r="V35" s="2">
        <v>9337044.0600000005</v>
      </c>
    </row>
  </sheetData>
  <mergeCells count="40">
    <mergeCell ref="A1:C1"/>
    <mergeCell ref="F1:G1"/>
    <mergeCell ref="H1:I1"/>
    <mergeCell ref="J1:K1"/>
    <mergeCell ref="L1:M1"/>
    <mergeCell ref="N1:O1"/>
    <mergeCell ref="A32:C32"/>
    <mergeCell ref="A33:C33"/>
    <mergeCell ref="A34:C34"/>
    <mergeCell ref="A35:C35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1B2BD-B1C5-4D47-925A-5799BC39EB78}">
  <dimension ref="A1:S19"/>
  <sheetViews>
    <sheetView workbookViewId="0">
      <selection activeCell="E6" sqref="E6"/>
    </sheetView>
  </sheetViews>
  <sheetFormatPr baseColWidth="10" defaultRowHeight="14.4" x14ac:dyDescent="0.3"/>
  <cols>
    <col min="1" max="1" width="7.6640625" customWidth="1"/>
    <col min="2" max="2" width="5.88671875" customWidth="1"/>
    <col min="3" max="3" width="29.33203125" customWidth="1"/>
    <col min="4" max="4" width="15.5546875" bestFit="1" customWidth="1"/>
    <col min="5" max="5" width="14.33203125" customWidth="1"/>
    <col min="6" max="6" width="6.77734375" bestFit="1" customWidth="1"/>
    <col min="7" max="7" width="14.33203125" customWidth="1"/>
    <col min="8" max="8" width="6.77734375" bestFit="1" customWidth="1"/>
    <col min="9" max="11" width="14.33203125" customWidth="1"/>
    <col min="12" max="12" width="6.77734375" bestFit="1" customWidth="1"/>
    <col min="13" max="19" width="14.33203125" customWidth="1"/>
  </cols>
  <sheetData>
    <row r="1" spans="1:19" ht="41.4" x14ac:dyDescent="0.3">
      <c r="A1" s="3" t="s">
        <v>52</v>
      </c>
      <c r="B1" s="4"/>
      <c r="C1" s="5"/>
      <c r="D1" s="6"/>
      <c r="E1" s="6"/>
      <c r="F1" s="7" t="s">
        <v>38</v>
      </c>
      <c r="G1" s="7"/>
      <c r="H1" s="7" t="s">
        <v>41</v>
      </c>
      <c r="I1" s="7"/>
      <c r="J1" s="7" t="s">
        <v>42</v>
      </c>
      <c r="K1" s="7"/>
      <c r="L1" s="7" t="s">
        <v>53</v>
      </c>
      <c r="M1" s="7"/>
      <c r="N1" s="6" t="s">
        <v>45</v>
      </c>
      <c r="O1" s="6" t="s">
        <v>46</v>
      </c>
      <c r="P1" s="6" t="s">
        <v>47</v>
      </c>
      <c r="Q1" s="6" t="s">
        <v>48</v>
      </c>
      <c r="R1" s="6" t="s">
        <v>49</v>
      </c>
      <c r="S1" s="6" t="s">
        <v>44</v>
      </c>
    </row>
    <row r="2" spans="1:19" ht="27.6" x14ac:dyDescent="0.3">
      <c r="A2" s="9" t="s">
        <v>1</v>
      </c>
      <c r="B2" s="9"/>
      <c r="C2" s="9"/>
      <c r="D2" s="10" t="s">
        <v>36</v>
      </c>
      <c r="E2" s="6" t="s">
        <v>37</v>
      </c>
      <c r="F2" s="10" t="s">
        <v>0</v>
      </c>
      <c r="G2" s="10" t="s">
        <v>35</v>
      </c>
      <c r="H2" s="10" t="s">
        <v>0</v>
      </c>
      <c r="I2" s="10" t="s">
        <v>35</v>
      </c>
      <c r="J2" s="10" t="s">
        <v>0</v>
      </c>
      <c r="K2" s="10" t="s">
        <v>35</v>
      </c>
      <c r="L2" s="10" t="s">
        <v>0</v>
      </c>
      <c r="M2" s="10" t="s">
        <v>35</v>
      </c>
      <c r="N2" s="10" t="s">
        <v>35</v>
      </c>
      <c r="O2" s="10" t="s">
        <v>35</v>
      </c>
      <c r="P2" s="10" t="s">
        <v>35</v>
      </c>
      <c r="Q2" s="10" t="s">
        <v>35</v>
      </c>
      <c r="R2" s="10" t="s">
        <v>35</v>
      </c>
      <c r="S2" s="10" t="s">
        <v>35</v>
      </c>
    </row>
    <row r="3" spans="1:19" ht="15" customHeight="1" x14ac:dyDescent="0.3">
      <c r="A3" s="1" t="s">
        <v>54</v>
      </c>
      <c r="B3" s="1"/>
      <c r="C3" s="1"/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 t="s">
        <v>40</v>
      </c>
      <c r="M3" s="2" t="s">
        <v>40</v>
      </c>
      <c r="N3" s="2" t="s">
        <v>40</v>
      </c>
      <c r="O3" s="2">
        <v>0</v>
      </c>
      <c r="P3" s="2">
        <v>0</v>
      </c>
      <c r="Q3" s="2">
        <v>60668.83</v>
      </c>
      <c r="R3" s="2" t="s">
        <v>40</v>
      </c>
      <c r="S3" s="2">
        <v>60668.83</v>
      </c>
    </row>
    <row r="4" spans="1:19" ht="15" customHeight="1" x14ac:dyDescent="0.3">
      <c r="A4" s="1" t="s">
        <v>55</v>
      </c>
      <c r="B4" s="1"/>
      <c r="C4" s="1"/>
      <c r="D4" s="2">
        <v>23818.69</v>
      </c>
      <c r="E4" s="2">
        <v>9614.48</v>
      </c>
      <c r="F4" s="2">
        <v>8</v>
      </c>
      <c r="G4" s="2">
        <v>13616</v>
      </c>
      <c r="H4" s="2">
        <v>0</v>
      </c>
      <c r="I4" s="2">
        <v>0</v>
      </c>
      <c r="J4" s="2">
        <v>44.16</v>
      </c>
      <c r="K4" s="2">
        <v>75160.320000000007</v>
      </c>
      <c r="L4" s="2" t="s">
        <v>40</v>
      </c>
      <c r="M4" s="2" t="s">
        <v>40</v>
      </c>
      <c r="N4" s="2" t="s">
        <v>40</v>
      </c>
      <c r="O4" s="2">
        <v>88776.320000000007</v>
      </c>
      <c r="P4" s="2">
        <v>79161.84</v>
      </c>
      <c r="Q4" s="2" t="s">
        <v>40</v>
      </c>
      <c r="R4" s="2">
        <v>398100.37</v>
      </c>
      <c r="S4" s="2">
        <v>477262.21</v>
      </c>
    </row>
    <row r="5" spans="1:19" ht="15" customHeight="1" x14ac:dyDescent="0.3">
      <c r="A5" s="1" t="s">
        <v>56</v>
      </c>
      <c r="B5" s="1"/>
      <c r="C5" s="1"/>
      <c r="D5" s="2">
        <v>29126.65</v>
      </c>
      <c r="E5" s="2">
        <v>11757.05</v>
      </c>
      <c r="F5" s="2">
        <v>8</v>
      </c>
      <c r="G5" s="2">
        <v>16000</v>
      </c>
      <c r="H5" s="2">
        <v>0</v>
      </c>
      <c r="I5" s="2">
        <v>0</v>
      </c>
      <c r="J5" s="2">
        <v>46.28</v>
      </c>
      <c r="K5" s="2">
        <v>92560</v>
      </c>
      <c r="L5" s="2" t="s">
        <v>40</v>
      </c>
      <c r="M5" s="2" t="s">
        <v>40</v>
      </c>
      <c r="N5" s="2" t="s">
        <v>40</v>
      </c>
      <c r="O5" s="2">
        <v>108560</v>
      </c>
      <c r="P5" s="2">
        <v>96802.95</v>
      </c>
      <c r="Q5" s="2" t="s">
        <v>40</v>
      </c>
      <c r="R5" s="2">
        <v>425655.79</v>
      </c>
      <c r="S5" s="2">
        <v>522458.74</v>
      </c>
    </row>
    <row r="6" spans="1:19" ht="15" customHeight="1" x14ac:dyDescent="0.3">
      <c r="A6" s="1" t="s">
        <v>57</v>
      </c>
      <c r="B6" s="1"/>
      <c r="C6" s="1"/>
      <c r="D6" s="2">
        <v>46576.88</v>
      </c>
      <c r="E6" s="2">
        <v>18800.88</v>
      </c>
      <c r="F6" s="2">
        <v>8</v>
      </c>
      <c r="G6" s="2">
        <v>24800</v>
      </c>
      <c r="H6" s="2">
        <v>0</v>
      </c>
      <c r="I6" s="2">
        <v>0</v>
      </c>
      <c r="J6" s="2">
        <v>48</v>
      </c>
      <c r="K6" s="2">
        <v>148800</v>
      </c>
      <c r="L6" s="2" t="s">
        <v>40</v>
      </c>
      <c r="M6" s="2" t="s">
        <v>40</v>
      </c>
      <c r="N6" s="2">
        <v>30000</v>
      </c>
      <c r="O6" s="2">
        <v>173600</v>
      </c>
      <c r="P6" s="2">
        <v>124799.12</v>
      </c>
      <c r="Q6" s="2">
        <v>60084.58</v>
      </c>
      <c r="R6" s="2" t="s">
        <v>40</v>
      </c>
      <c r="S6" s="2">
        <v>184883.7</v>
      </c>
    </row>
    <row r="7" spans="1:19" ht="15" customHeight="1" x14ac:dyDescent="0.3">
      <c r="A7" s="1" t="s">
        <v>58</v>
      </c>
      <c r="B7" s="1"/>
      <c r="C7" s="1"/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 t="s">
        <v>40</v>
      </c>
      <c r="M7" s="2" t="s">
        <v>40</v>
      </c>
      <c r="N7" s="2" t="s">
        <v>40</v>
      </c>
      <c r="O7" s="2">
        <v>0</v>
      </c>
      <c r="P7" s="2">
        <v>0</v>
      </c>
      <c r="Q7" s="2" t="s">
        <v>40</v>
      </c>
      <c r="R7" s="2">
        <v>426116.58</v>
      </c>
      <c r="S7" s="2">
        <v>426116.58</v>
      </c>
    </row>
    <row r="8" spans="1:19" ht="15" customHeight="1" x14ac:dyDescent="0.3">
      <c r="A8" s="1" t="s">
        <v>59</v>
      </c>
      <c r="B8" s="1"/>
      <c r="C8" s="1"/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 t="s">
        <v>40</v>
      </c>
      <c r="M8" s="2" t="s">
        <v>40</v>
      </c>
      <c r="N8" s="2" t="s">
        <v>40</v>
      </c>
      <c r="O8" s="2">
        <v>0</v>
      </c>
      <c r="P8" s="2">
        <v>0</v>
      </c>
      <c r="Q8" s="2" t="s">
        <v>40</v>
      </c>
      <c r="R8" s="2">
        <v>334763.21999999997</v>
      </c>
      <c r="S8" s="2">
        <v>334763.21999999997</v>
      </c>
    </row>
    <row r="9" spans="1:19" ht="15" customHeight="1" x14ac:dyDescent="0.3">
      <c r="A9" s="1" t="s">
        <v>60</v>
      </c>
      <c r="B9" s="1"/>
      <c r="C9" s="1"/>
      <c r="D9" s="2">
        <v>26722.68</v>
      </c>
      <c r="E9" s="2">
        <v>10786.68</v>
      </c>
      <c r="F9" s="2">
        <v>8</v>
      </c>
      <c r="G9" s="2">
        <v>16000</v>
      </c>
      <c r="H9" s="2">
        <v>0</v>
      </c>
      <c r="I9" s="2">
        <v>0</v>
      </c>
      <c r="J9" s="2">
        <v>41.8</v>
      </c>
      <c r="K9" s="2">
        <v>83600</v>
      </c>
      <c r="L9" s="2" t="s">
        <v>40</v>
      </c>
      <c r="M9" s="2" t="s">
        <v>40</v>
      </c>
      <c r="N9" s="2" t="s">
        <v>40</v>
      </c>
      <c r="O9" s="2">
        <v>99600</v>
      </c>
      <c r="P9" s="2">
        <v>88813.32</v>
      </c>
      <c r="Q9" s="2">
        <v>62336.27</v>
      </c>
      <c r="R9" s="2" t="s">
        <v>40</v>
      </c>
      <c r="S9" s="2">
        <v>151149.59</v>
      </c>
    </row>
    <row r="10" spans="1:19" ht="15" customHeight="1" x14ac:dyDescent="0.3">
      <c r="A10" s="1" t="s">
        <v>61</v>
      </c>
      <c r="B10" s="1"/>
      <c r="C10" s="1"/>
      <c r="D10" s="2">
        <v>39712.83</v>
      </c>
      <c r="E10" s="2">
        <v>16030.19</v>
      </c>
      <c r="F10" s="2">
        <v>8</v>
      </c>
      <c r="G10" s="2">
        <v>18400</v>
      </c>
      <c r="H10" s="2">
        <v>5.57</v>
      </c>
      <c r="I10" s="2">
        <v>19216.5</v>
      </c>
      <c r="J10" s="2">
        <v>48</v>
      </c>
      <c r="K10" s="2">
        <v>110400</v>
      </c>
      <c r="L10" s="2" t="s">
        <v>40</v>
      </c>
      <c r="M10" s="2" t="s">
        <v>40</v>
      </c>
      <c r="N10" s="2" t="s">
        <v>40</v>
      </c>
      <c r="O10" s="2">
        <v>148016.5</v>
      </c>
      <c r="P10" s="2">
        <v>131986.31</v>
      </c>
      <c r="Q10" s="2">
        <v>61203.74</v>
      </c>
      <c r="R10" s="2" t="s">
        <v>40</v>
      </c>
      <c r="S10" s="2">
        <v>193190.05</v>
      </c>
    </row>
    <row r="11" spans="1:19" ht="15" customHeight="1" x14ac:dyDescent="0.3">
      <c r="A11" s="1" t="s">
        <v>62</v>
      </c>
      <c r="B11" s="1"/>
      <c r="C11" s="1"/>
      <c r="D11" s="2">
        <v>45309.16</v>
      </c>
      <c r="E11" s="2">
        <v>18289.16</v>
      </c>
      <c r="F11" s="2">
        <v>8</v>
      </c>
      <c r="G11" s="2">
        <v>20000</v>
      </c>
      <c r="H11" s="2">
        <v>7.7</v>
      </c>
      <c r="I11" s="2">
        <v>28875</v>
      </c>
      <c r="J11" s="2">
        <v>48</v>
      </c>
      <c r="K11" s="2">
        <v>120000</v>
      </c>
      <c r="L11" s="2" t="s">
        <v>40</v>
      </c>
      <c r="M11" s="2" t="s">
        <v>40</v>
      </c>
      <c r="N11" s="2" t="s">
        <v>40</v>
      </c>
      <c r="O11" s="2">
        <v>168875</v>
      </c>
      <c r="P11" s="2">
        <v>150585.84</v>
      </c>
      <c r="Q11" s="2">
        <v>60249.02</v>
      </c>
      <c r="R11" s="2" t="s">
        <v>40</v>
      </c>
      <c r="S11" s="2">
        <v>210834.86</v>
      </c>
    </row>
    <row r="12" spans="1:19" ht="15" customHeight="1" x14ac:dyDescent="0.3">
      <c r="A12" s="1" t="s">
        <v>63</v>
      </c>
      <c r="B12" s="1"/>
      <c r="C12" s="1"/>
      <c r="D12" s="2">
        <v>48492.54</v>
      </c>
      <c r="E12" s="2">
        <v>19574.14</v>
      </c>
      <c r="F12" s="2">
        <v>8</v>
      </c>
      <c r="G12" s="2">
        <v>22400</v>
      </c>
      <c r="H12" s="2">
        <v>5.7</v>
      </c>
      <c r="I12" s="2">
        <v>23940</v>
      </c>
      <c r="J12" s="2">
        <v>48</v>
      </c>
      <c r="K12" s="2">
        <v>134400</v>
      </c>
      <c r="L12" s="2" t="s">
        <v>40</v>
      </c>
      <c r="M12" s="2" t="s">
        <v>40</v>
      </c>
      <c r="N12" s="2" t="s">
        <v>40</v>
      </c>
      <c r="O12" s="2">
        <v>180740</v>
      </c>
      <c r="P12" s="2">
        <v>161165.85999999999</v>
      </c>
      <c r="Q12" s="2">
        <v>56827.6</v>
      </c>
      <c r="R12" s="2" t="s">
        <v>40</v>
      </c>
      <c r="S12" s="2">
        <v>217993.46</v>
      </c>
    </row>
    <row r="13" spans="1:19" ht="15" customHeight="1" x14ac:dyDescent="0.3">
      <c r="A13" s="1" t="s">
        <v>64</v>
      </c>
      <c r="B13" s="1"/>
      <c r="C13" s="1"/>
      <c r="D13" s="2">
        <v>46918.96</v>
      </c>
      <c r="E13" s="2">
        <v>18938.96</v>
      </c>
      <c r="F13" s="2">
        <v>8</v>
      </c>
      <c r="G13" s="2">
        <v>20000</v>
      </c>
      <c r="H13" s="2">
        <v>9.3000000000000007</v>
      </c>
      <c r="I13" s="2">
        <v>34875</v>
      </c>
      <c r="J13" s="2">
        <v>48</v>
      </c>
      <c r="K13" s="2">
        <v>120000</v>
      </c>
      <c r="L13" s="2" t="s">
        <v>40</v>
      </c>
      <c r="M13" s="2" t="s">
        <v>40</v>
      </c>
      <c r="N13" s="2" t="s">
        <v>40</v>
      </c>
      <c r="O13" s="2">
        <v>174875</v>
      </c>
      <c r="P13" s="2">
        <v>155936.04</v>
      </c>
      <c r="Q13" s="2">
        <v>57972.7</v>
      </c>
      <c r="R13" s="2" t="s">
        <v>40</v>
      </c>
      <c r="S13" s="2">
        <v>213908.74</v>
      </c>
    </row>
    <row r="14" spans="1:19" ht="15" customHeight="1" x14ac:dyDescent="0.3">
      <c r="A14" s="1" t="s">
        <v>65</v>
      </c>
      <c r="B14" s="1"/>
      <c r="C14" s="1"/>
      <c r="D14" s="2">
        <v>38581.54</v>
      </c>
      <c r="E14" s="2">
        <v>15573.54</v>
      </c>
      <c r="F14" s="2">
        <v>8</v>
      </c>
      <c r="G14" s="2">
        <v>16000</v>
      </c>
      <c r="H14" s="2">
        <v>5.2</v>
      </c>
      <c r="I14" s="2">
        <v>15600</v>
      </c>
      <c r="J14" s="2">
        <v>48</v>
      </c>
      <c r="K14" s="2">
        <v>96000</v>
      </c>
      <c r="L14" s="2">
        <f>M14/2700</f>
        <v>6</v>
      </c>
      <c r="M14" s="2">
        <v>16200</v>
      </c>
      <c r="N14" s="2" t="s">
        <v>40</v>
      </c>
      <c r="O14" s="2">
        <v>143800</v>
      </c>
      <c r="P14" s="2">
        <v>128226.46</v>
      </c>
      <c r="Q14" s="2">
        <v>61203.74</v>
      </c>
      <c r="R14" s="2" t="s">
        <v>40</v>
      </c>
      <c r="S14" s="2">
        <v>189430.2</v>
      </c>
    </row>
    <row r="15" spans="1:19" ht="15" customHeight="1" x14ac:dyDescent="0.3">
      <c r="A15" s="1" t="s">
        <v>66</v>
      </c>
      <c r="B15" s="1"/>
      <c r="C15" s="1"/>
      <c r="D15" s="2">
        <v>27901.11</v>
      </c>
      <c r="E15" s="2">
        <v>11262.36</v>
      </c>
      <c r="F15" s="2">
        <v>8</v>
      </c>
      <c r="G15" s="2">
        <v>13616</v>
      </c>
      <c r="H15" s="2">
        <v>3.4</v>
      </c>
      <c r="I15" s="2">
        <v>8680.2000000000007</v>
      </c>
      <c r="J15" s="2">
        <v>48</v>
      </c>
      <c r="K15" s="2">
        <v>81696</v>
      </c>
      <c r="L15" s="2" t="s">
        <v>40</v>
      </c>
      <c r="M15" s="2" t="s">
        <v>40</v>
      </c>
      <c r="N15" s="2" t="s">
        <v>40</v>
      </c>
      <c r="O15" s="2">
        <v>103992.2</v>
      </c>
      <c r="P15" s="2">
        <v>92729.84</v>
      </c>
      <c r="Q15" s="2" t="s">
        <v>40</v>
      </c>
      <c r="R15" s="2">
        <v>426116.58</v>
      </c>
      <c r="S15" s="2">
        <v>518846.42</v>
      </c>
    </row>
    <row r="16" spans="1:19" ht="15" customHeight="1" x14ac:dyDescent="0.3">
      <c r="A16" s="1" t="s">
        <v>67</v>
      </c>
      <c r="B16" s="1"/>
      <c r="C16" s="1"/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 t="s">
        <v>40</v>
      </c>
      <c r="M16" s="2" t="s">
        <v>40</v>
      </c>
      <c r="N16" s="2" t="s">
        <v>40</v>
      </c>
      <c r="O16" s="2">
        <v>0</v>
      </c>
      <c r="P16" s="2">
        <v>0</v>
      </c>
      <c r="Q16" s="2">
        <v>56827.6</v>
      </c>
      <c r="R16" s="2" t="s">
        <v>40</v>
      </c>
      <c r="S16" s="2">
        <v>56827.6</v>
      </c>
    </row>
    <row r="17" spans="1:19" ht="15" customHeight="1" x14ac:dyDescent="0.3">
      <c r="A17" s="1" t="s">
        <v>68</v>
      </c>
      <c r="B17" s="1"/>
      <c r="C17" s="1"/>
      <c r="D17" s="2">
        <v>27353.13</v>
      </c>
      <c r="E17" s="2">
        <v>11041.16</v>
      </c>
      <c r="F17" s="2">
        <v>8</v>
      </c>
      <c r="G17" s="2">
        <v>13616</v>
      </c>
      <c r="H17" s="2">
        <v>2.6</v>
      </c>
      <c r="I17" s="2">
        <v>6637.8</v>
      </c>
      <c r="J17" s="2">
        <v>48</v>
      </c>
      <c r="K17" s="2">
        <v>81696</v>
      </c>
      <c r="L17" s="2" t="s">
        <v>40</v>
      </c>
      <c r="M17" s="2" t="s">
        <v>40</v>
      </c>
      <c r="N17" s="2" t="s">
        <v>40</v>
      </c>
      <c r="O17" s="2">
        <v>101949.8</v>
      </c>
      <c r="P17" s="2">
        <v>90908.64</v>
      </c>
      <c r="Q17" s="2" t="s">
        <v>40</v>
      </c>
      <c r="R17" s="2">
        <v>387606.78</v>
      </c>
      <c r="S17" s="2">
        <v>478515.42</v>
      </c>
    </row>
    <row r="18" spans="1:19" ht="15" customHeight="1" x14ac:dyDescent="0.3">
      <c r="A18" s="1" t="s">
        <v>69</v>
      </c>
      <c r="B18" s="1"/>
      <c r="C18" s="1"/>
      <c r="D18" s="2">
        <v>21700.1</v>
      </c>
      <c r="E18" s="2">
        <v>8759.2999999999993</v>
      </c>
      <c r="F18" s="2">
        <v>8</v>
      </c>
      <c r="G18" s="2">
        <v>16000</v>
      </c>
      <c r="H18" s="2">
        <v>0</v>
      </c>
      <c r="I18" s="2">
        <v>0</v>
      </c>
      <c r="J18" s="2">
        <v>32.44</v>
      </c>
      <c r="K18" s="2">
        <v>64880</v>
      </c>
      <c r="L18" s="2" t="s">
        <v>40</v>
      </c>
      <c r="M18" s="2" t="s">
        <v>40</v>
      </c>
      <c r="N18" s="2" t="s">
        <v>40</v>
      </c>
      <c r="O18" s="2">
        <v>80880</v>
      </c>
      <c r="P18" s="2">
        <v>72120.7</v>
      </c>
      <c r="Q18" s="2" t="s">
        <v>40</v>
      </c>
      <c r="R18" s="2">
        <v>338870.36</v>
      </c>
      <c r="S18" s="2">
        <v>410991.06</v>
      </c>
    </row>
    <row r="19" spans="1:19" ht="15" customHeight="1" x14ac:dyDescent="0.3">
      <c r="A19" s="1" t="s">
        <v>34</v>
      </c>
      <c r="B19" s="1"/>
      <c r="C19" s="1"/>
      <c r="D19" s="2">
        <v>422214.27</v>
      </c>
      <c r="E19" s="2">
        <v>170427.9</v>
      </c>
      <c r="F19" s="2">
        <v>96</v>
      </c>
      <c r="G19" s="2">
        <v>210448</v>
      </c>
      <c r="H19" s="2">
        <v>39.47</v>
      </c>
      <c r="I19" s="2">
        <v>137824.5</v>
      </c>
      <c r="J19" s="2">
        <v>548.67999999999995</v>
      </c>
      <c r="K19" s="2">
        <v>1209192.32</v>
      </c>
      <c r="L19" s="2">
        <v>6</v>
      </c>
      <c r="M19" s="2">
        <v>16200</v>
      </c>
      <c r="N19" s="2">
        <v>30000</v>
      </c>
      <c r="O19" s="2">
        <v>1573664.82</v>
      </c>
      <c r="P19" s="2">
        <v>1373236.92</v>
      </c>
      <c r="Q19" s="2">
        <v>537374.07999999996</v>
      </c>
      <c r="R19" s="2">
        <v>2737229.68</v>
      </c>
      <c r="S19" s="2">
        <v>4647840.68</v>
      </c>
    </row>
  </sheetData>
  <mergeCells count="23"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3:C13"/>
    <mergeCell ref="A14:C14"/>
    <mergeCell ref="A3:C3"/>
    <mergeCell ref="A4:C4"/>
    <mergeCell ref="A5:C5"/>
    <mergeCell ref="A6:C6"/>
    <mergeCell ref="A7:C7"/>
    <mergeCell ref="A8:C8"/>
    <mergeCell ref="A1:C1"/>
    <mergeCell ref="F1:G1"/>
    <mergeCell ref="H1:I1"/>
    <mergeCell ref="J1:K1"/>
    <mergeCell ref="L1:M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C4040-D29D-4A4E-81FB-B2EC532D2054}">
  <dimension ref="A1:Q13"/>
  <sheetViews>
    <sheetView workbookViewId="0">
      <selection activeCell="G18" sqref="G18"/>
    </sheetView>
  </sheetViews>
  <sheetFormatPr baseColWidth="10" defaultRowHeight="14.4" x14ac:dyDescent="0.3"/>
  <cols>
    <col min="1" max="1" width="7.6640625" customWidth="1"/>
    <col min="2" max="2" width="5.88671875" customWidth="1"/>
    <col min="3" max="3" width="29.33203125" customWidth="1"/>
    <col min="4" max="4" width="15.5546875" bestFit="1" customWidth="1"/>
    <col min="5" max="5" width="14.33203125" customWidth="1"/>
    <col min="6" max="6" width="6.77734375" bestFit="1" customWidth="1"/>
    <col min="7" max="7" width="14.33203125" customWidth="1"/>
    <col min="8" max="8" width="6.77734375" bestFit="1" customWidth="1"/>
    <col min="9" max="17" width="14.33203125" customWidth="1"/>
  </cols>
  <sheetData>
    <row r="1" spans="1:17" ht="41.4" x14ac:dyDescent="0.3">
      <c r="A1" s="3" t="s">
        <v>70</v>
      </c>
      <c r="B1" s="4"/>
      <c r="C1" s="5"/>
      <c r="D1" s="6"/>
      <c r="E1" s="6"/>
      <c r="F1" s="7" t="s">
        <v>38</v>
      </c>
      <c r="G1" s="7"/>
      <c r="H1" s="7" t="s">
        <v>41</v>
      </c>
      <c r="I1" s="7"/>
      <c r="J1" s="7" t="s">
        <v>42</v>
      </c>
      <c r="K1" s="7"/>
      <c r="L1" s="6" t="s">
        <v>46</v>
      </c>
      <c r="M1" s="6" t="s">
        <v>47</v>
      </c>
      <c r="N1" s="6" t="s">
        <v>48</v>
      </c>
      <c r="O1" s="6" t="s">
        <v>49</v>
      </c>
      <c r="P1" s="6" t="s">
        <v>71</v>
      </c>
      <c r="Q1" s="6" t="s">
        <v>44</v>
      </c>
    </row>
    <row r="2" spans="1:17" ht="27.6" x14ac:dyDescent="0.3">
      <c r="A2" s="9" t="s">
        <v>1</v>
      </c>
      <c r="B2" s="9"/>
      <c r="C2" s="9"/>
      <c r="D2" s="10" t="s">
        <v>36</v>
      </c>
      <c r="E2" s="6" t="s">
        <v>37</v>
      </c>
      <c r="F2" s="10" t="s">
        <v>0</v>
      </c>
      <c r="G2" s="10" t="s">
        <v>35</v>
      </c>
      <c r="H2" s="10" t="s">
        <v>0</v>
      </c>
      <c r="I2" s="10" t="s">
        <v>35</v>
      </c>
      <c r="J2" s="10" t="s">
        <v>0</v>
      </c>
      <c r="K2" s="10" t="s">
        <v>35</v>
      </c>
      <c r="L2" s="10" t="s">
        <v>35</v>
      </c>
      <c r="M2" s="10" t="s">
        <v>35</v>
      </c>
      <c r="N2" s="10" t="s">
        <v>35</v>
      </c>
      <c r="O2" s="10" t="s">
        <v>35</v>
      </c>
      <c r="P2" s="10" t="s">
        <v>35</v>
      </c>
      <c r="Q2" s="10" t="s">
        <v>35</v>
      </c>
    </row>
    <row r="3" spans="1:17" ht="15" customHeight="1" x14ac:dyDescent="0.3">
      <c r="A3" s="1" t="s">
        <v>72</v>
      </c>
      <c r="B3" s="1"/>
      <c r="C3" s="1"/>
      <c r="D3" s="2">
        <v>37411.75</v>
      </c>
      <c r="E3" s="2">
        <v>15101.35</v>
      </c>
      <c r="F3" s="2">
        <v>8</v>
      </c>
      <c r="G3" s="2">
        <v>22400</v>
      </c>
      <c r="H3" s="2">
        <v>0</v>
      </c>
      <c r="I3" s="2">
        <v>0</v>
      </c>
      <c r="J3" s="2">
        <v>41.8</v>
      </c>
      <c r="K3" s="2">
        <v>117040</v>
      </c>
      <c r="L3" s="2">
        <v>139440</v>
      </c>
      <c r="M3" s="2">
        <v>124338.65</v>
      </c>
      <c r="N3" s="2">
        <v>9092.9699999999993</v>
      </c>
      <c r="O3" s="2" t="s">
        <v>40</v>
      </c>
      <c r="P3" s="2" t="s">
        <v>40</v>
      </c>
      <c r="Q3" s="2">
        <v>133431.62</v>
      </c>
    </row>
    <row r="4" spans="1:17" ht="15" customHeight="1" x14ac:dyDescent="0.3">
      <c r="A4" s="1" t="s">
        <v>73</v>
      </c>
      <c r="B4" s="1"/>
      <c r="C4" s="1"/>
      <c r="D4" s="2">
        <v>31101.34</v>
      </c>
      <c r="E4" s="2">
        <v>12554.14</v>
      </c>
      <c r="F4" s="2">
        <v>8</v>
      </c>
      <c r="G4" s="2">
        <v>19200</v>
      </c>
      <c r="H4" s="2">
        <v>0</v>
      </c>
      <c r="I4" s="2">
        <v>0</v>
      </c>
      <c r="J4" s="2">
        <v>40.299999999999997</v>
      </c>
      <c r="K4" s="2">
        <v>96720</v>
      </c>
      <c r="L4" s="2">
        <v>115920</v>
      </c>
      <c r="M4" s="2">
        <v>103365.86</v>
      </c>
      <c r="N4" s="2" t="s">
        <v>40</v>
      </c>
      <c r="O4" s="2">
        <v>30548.1</v>
      </c>
      <c r="P4" s="2" t="s">
        <v>40</v>
      </c>
      <c r="Q4" s="2">
        <v>133913.96</v>
      </c>
    </row>
    <row r="5" spans="1:17" ht="15" customHeight="1" x14ac:dyDescent="0.3">
      <c r="A5" s="1" t="s">
        <v>74</v>
      </c>
      <c r="B5" s="1"/>
      <c r="C5" s="1"/>
      <c r="D5" s="2">
        <v>31900.87</v>
      </c>
      <c r="E5" s="2">
        <v>12876.87</v>
      </c>
      <c r="F5" s="2">
        <v>8</v>
      </c>
      <c r="G5" s="2">
        <v>16000</v>
      </c>
      <c r="H5" s="2">
        <v>2.2999999999999998</v>
      </c>
      <c r="I5" s="2">
        <v>6900</v>
      </c>
      <c r="J5" s="2">
        <v>48</v>
      </c>
      <c r="K5" s="2">
        <v>96000</v>
      </c>
      <c r="L5" s="2">
        <v>118900</v>
      </c>
      <c r="M5" s="2">
        <v>106023.13</v>
      </c>
      <c r="N5" s="2">
        <v>42244.35</v>
      </c>
      <c r="O5" s="2" t="s">
        <v>40</v>
      </c>
      <c r="P5" s="2">
        <v>6000</v>
      </c>
      <c r="Q5" s="2">
        <v>142267.48000000001</v>
      </c>
    </row>
    <row r="6" spans="1:17" ht="15" customHeight="1" x14ac:dyDescent="0.3">
      <c r="A6" s="1" t="s">
        <v>75</v>
      </c>
      <c r="B6" s="1"/>
      <c r="C6" s="1"/>
      <c r="D6" s="2">
        <v>45074.400000000001</v>
      </c>
      <c r="E6" s="2">
        <v>18194.400000000001</v>
      </c>
      <c r="F6" s="2">
        <v>8</v>
      </c>
      <c r="G6" s="2">
        <v>24000</v>
      </c>
      <c r="H6" s="2">
        <v>0</v>
      </c>
      <c r="I6" s="2">
        <v>0</v>
      </c>
      <c r="J6" s="2">
        <v>48</v>
      </c>
      <c r="K6" s="2">
        <v>144000</v>
      </c>
      <c r="L6" s="2">
        <v>168000</v>
      </c>
      <c r="M6" s="2">
        <v>149805.6</v>
      </c>
      <c r="N6" s="2">
        <v>9092.9699999999993</v>
      </c>
      <c r="O6" s="2" t="s">
        <v>40</v>
      </c>
      <c r="P6" s="2" t="s">
        <v>40</v>
      </c>
      <c r="Q6" s="2">
        <v>158898.57</v>
      </c>
    </row>
    <row r="7" spans="1:17" ht="15" customHeight="1" x14ac:dyDescent="0.3">
      <c r="A7" s="1" t="s">
        <v>76</v>
      </c>
      <c r="B7" s="1"/>
      <c r="C7" s="1"/>
      <c r="D7" s="2">
        <v>45074.400000000001</v>
      </c>
      <c r="E7" s="2">
        <v>18194.400000000001</v>
      </c>
      <c r="F7" s="2">
        <v>8</v>
      </c>
      <c r="G7" s="2">
        <v>24000</v>
      </c>
      <c r="H7" s="2">
        <v>0</v>
      </c>
      <c r="I7" s="2">
        <v>0</v>
      </c>
      <c r="J7" s="2">
        <v>48</v>
      </c>
      <c r="K7" s="2">
        <v>144000</v>
      </c>
      <c r="L7" s="2">
        <v>168000</v>
      </c>
      <c r="M7" s="2">
        <v>149805.6</v>
      </c>
      <c r="N7" s="2" t="s">
        <v>40</v>
      </c>
      <c r="O7" s="2" t="s">
        <v>40</v>
      </c>
      <c r="P7" s="2" t="s">
        <v>40</v>
      </c>
      <c r="Q7" s="2">
        <v>149805.6</v>
      </c>
    </row>
    <row r="8" spans="1:17" ht="15" customHeight="1" x14ac:dyDescent="0.3">
      <c r="A8" s="1" t="s">
        <v>77</v>
      </c>
      <c r="B8" s="1"/>
      <c r="C8" s="1"/>
      <c r="D8" s="2">
        <v>42139.87</v>
      </c>
      <c r="E8" s="2">
        <v>17009.87</v>
      </c>
      <c r="F8" s="2">
        <v>8</v>
      </c>
      <c r="G8" s="2">
        <v>20000</v>
      </c>
      <c r="H8" s="2">
        <v>4.55</v>
      </c>
      <c r="I8" s="2">
        <v>17062.5</v>
      </c>
      <c r="J8" s="2">
        <v>48</v>
      </c>
      <c r="K8" s="2">
        <v>120000</v>
      </c>
      <c r="L8" s="2">
        <v>157062.5</v>
      </c>
      <c r="M8" s="2">
        <v>140052.63</v>
      </c>
      <c r="N8" s="2">
        <v>9092.9699999999993</v>
      </c>
      <c r="O8" s="2" t="s">
        <v>40</v>
      </c>
      <c r="P8" s="2" t="s">
        <v>40</v>
      </c>
      <c r="Q8" s="2">
        <v>149145.60000000001</v>
      </c>
    </row>
    <row r="9" spans="1:17" ht="15" customHeight="1" x14ac:dyDescent="0.3">
      <c r="A9" s="1" t="s">
        <v>78</v>
      </c>
      <c r="B9" s="1"/>
      <c r="C9" s="1"/>
      <c r="D9" s="2">
        <v>31070.48</v>
      </c>
      <c r="E9" s="2">
        <v>12541.68</v>
      </c>
      <c r="F9" s="2">
        <v>8</v>
      </c>
      <c r="G9" s="2">
        <v>18400</v>
      </c>
      <c r="H9" s="2">
        <v>0</v>
      </c>
      <c r="I9" s="2">
        <v>0</v>
      </c>
      <c r="J9" s="2">
        <v>42.35</v>
      </c>
      <c r="K9" s="2">
        <v>97405</v>
      </c>
      <c r="L9" s="2">
        <v>115805</v>
      </c>
      <c r="M9" s="2">
        <v>103263.32</v>
      </c>
      <c r="N9" s="2" t="s">
        <v>40</v>
      </c>
      <c r="O9" s="2">
        <v>44465.25</v>
      </c>
      <c r="P9" s="2" t="s">
        <v>40</v>
      </c>
      <c r="Q9" s="2">
        <v>147728.57</v>
      </c>
    </row>
    <row r="10" spans="1:17" ht="15" customHeight="1" x14ac:dyDescent="0.3">
      <c r="A10" s="1" t="s">
        <v>79</v>
      </c>
      <c r="B10" s="1"/>
      <c r="C10" s="1"/>
      <c r="D10" s="2">
        <v>32631.99</v>
      </c>
      <c r="E10" s="2">
        <v>13171.99</v>
      </c>
      <c r="F10" s="2">
        <v>8</v>
      </c>
      <c r="G10" s="2">
        <v>20000</v>
      </c>
      <c r="H10" s="2">
        <v>0</v>
      </c>
      <c r="I10" s="2">
        <v>0</v>
      </c>
      <c r="J10" s="2">
        <v>40.65</v>
      </c>
      <c r="K10" s="2">
        <v>101625</v>
      </c>
      <c r="L10" s="2">
        <v>121625</v>
      </c>
      <c r="M10" s="2">
        <v>108453.01</v>
      </c>
      <c r="N10" s="2">
        <v>7889.54</v>
      </c>
      <c r="O10" s="2" t="s">
        <v>40</v>
      </c>
      <c r="P10" s="2" t="s">
        <v>40</v>
      </c>
      <c r="Q10" s="2">
        <v>116342.55</v>
      </c>
    </row>
    <row r="11" spans="1:17" ht="15" customHeight="1" x14ac:dyDescent="0.3">
      <c r="A11" s="1" t="s">
        <v>80</v>
      </c>
      <c r="B11" s="1"/>
      <c r="C11" s="1"/>
      <c r="D11" s="2">
        <v>33027.730000000003</v>
      </c>
      <c r="E11" s="2">
        <v>13331.73</v>
      </c>
      <c r="F11" s="2">
        <v>8</v>
      </c>
      <c r="G11" s="2">
        <v>16000</v>
      </c>
      <c r="H11" s="2">
        <v>3.7</v>
      </c>
      <c r="I11" s="2">
        <v>11100</v>
      </c>
      <c r="J11" s="2">
        <v>48</v>
      </c>
      <c r="K11" s="2">
        <v>96000</v>
      </c>
      <c r="L11" s="2">
        <v>123100</v>
      </c>
      <c r="M11" s="2">
        <v>109768.27</v>
      </c>
      <c r="N11" s="2" t="s">
        <v>40</v>
      </c>
      <c r="O11" s="2">
        <v>42011.99</v>
      </c>
      <c r="P11" s="2" t="s">
        <v>40</v>
      </c>
      <c r="Q11" s="2">
        <v>151780.26</v>
      </c>
    </row>
    <row r="12" spans="1:17" ht="15" customHeight="1" x14ac:dyDescent="0.3">
      <c r="A12" s="1" t="s">
        <v>81</v>
      </c>
      <c r="B12" s="1"/>
      <c r="C12" s="1"/>
      <c r="D12" s="2">
        <v>36086.35</v>
      </c>
      <c r="E12" s="2">
        <v>14566.35</v>
      </c>
      <c r="F12" s="2">
        <v>8</v>
      </c>
      <c r="G12" s="2">
        <v>16000</v>
      </c>
      <c r="H12" s="2">
        <v>7.5</v>
      </c>
      <c r="I12" s="2">
        <v>22500</v>
      </c>
      <c r="J12" s="2">
        <v>48</v>
      </c>
      <c r="K12" s="2">
        <v>96000</v>
      </c>
      <c r="L12" s="2">
        <v>134500</v>
      </c>
      <c r="M12" s="2">
        <v>119933.65</v>
      </c>
      <c r="N12" s="2">
        <v>9092.9699999999993</v>
      </c>
      <c r="O12" s="2" t="s">
        <v>40</v>
      </c>
      <c r="P12" s="2" t="s">
        <v>40</v>
      </c>
      <c r="Q12" s="2">
        <v>129026.62</v>
      </c>
    </row>
    <row r="13" spans="1:17" ht="15" customHeight="1" x14ac:dyDescent="0.3">
      <c r="A13" s="1" t="s">
        <v>34</v>
      </c>
      <c r="B13" s="1"/>
      <c r="C13" s="1"/>
      <c r="D13" s="2">
        <v>365519.18</v>
      </c>
      <c r="E13" s="2">
        <v>147542.78</v>
      </c>
      <c r="F13" s="2">
        <v>80</v>
      </c>
      <c r="G13" s="2">
        <v>196000</v>
      </c>
      <c r="H13" s="2">
        <v>18.05</v>
      </c>
      <c r="I13" s="2">
        <v>57562.5</v>
      </c>
      <c r="J13" s="2">
        <v>453.1</v>
      </c>
      <c r="K13" s="2">
        <v>1108790</v>
      </c>
      <c r="L13" s="2">
        <v>1362352.5</v>
      </c>
      <c r="M13" s="2">
        <v>1214809.72</v>
      </c>
      <c r="N13" s="2">
        <v>86505.77</v>
      </c>
      <c r="O13" s="2">
        <v>117025.34</v>
      </c>
      <c r="P13" s="2">
        <v>6000</v>
      </c>
      <c r="Q13" s="2">
        <v>1412340.83</v>
      </c>
    </row>
  </sheetData>
  <mergeCells count="16">
    <mergeCell ref="A10:C10"/>
    <mergeCell ref="A11:C11"/>
    <mergeCell ref="A12:C12"/>
    <mergeCell ref="A13:C13"/>
    <mergeCell ref="A4:C4"/>
    <mergeCell ref="A5:C5"/>
    <mergeCell ref="A6:C6"/>
    <mergeCell ref="A7:C7"/>
    <mergeCell ref="A8:C8"/>
    <mergeCell ref="A9:C9"/>
    <mergeCell ref="A1:C1"/>
    <mergeCell ref="F1:G1"/>
    <mergeCell ref="H1:I1"/>
    <mergeCell ref="J1:K1"/>
    <mergeCell ref="A2:C2"/>
    <mergeCell ref="A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554D5-D9B5-42D2-99F1-8784F7CB5AE2}">
  <dimension ref="A1:N6"/>
  <sheetViews>
    <sheetView tabSelected="1" workbookViewId="0">
      <selection activeCell="I11" sqref="I11"/>
    </sheetView>
  </sheetViews>
  <sheetFormatPr baseColWidth="10" defaultRowHeight="14.4" x14ac:dyDescent="0.3"/>
  <cols>
    <col min="3" max="3" width="20" customWidth="1"/>
  </cols>
  <sheetData>
    <row r="1" spans="1:14" ht="55.2" x14ac:dyDescent="0.3">
      <c r="A1" s="3" t="s">
        <v>82</v>
      </c>
      <c r="B1" s="4"/>
      <c r="C1" s="5"/>
      <c r="D1" s="7" t="s">
        <v>38</v>
      </c>
      <c r="E1" s="7"/>
      <c r="F1" s="7" t="s">
        <v>41</v>
      </c>
      <c r="G1" s="7"/>
      <c r="H1" s="7" t="s">
        <v>42</v>
      </c>
      <c r="I1" s="7"/>
      <c r="J1" s="6" t="s">
        <v>46</v>
      </c>
      <c r="K1" s="6" t="s">
        <v>47</v>
      </c>
      <c r="L1" s="6" t="s">
        <v>48</v>
      </c>
      <c r="M1" s="6" t="s">
        <v>49</v>
      </c>
      <c r="N1" s="6" t="s">
        <v>44</v>
      </c>
    </row>
    <row r="2" spans="1:14" x14ac:dyDescent="0.3">
      <c r="A2" s="9" t="s">
        <v>1</v>
      </c>
      <c r="B2" s="9"/>
      <c r="C2" s="9"/>
      <c r="D2" s="10" t="s">
        <v>0</v>
      </c>
      <c r="E2" s="10" t="s">
        <v>35</v>
      </c>
      <c r="F2" s="10" t="s">
        <v>0</v>
      </c>
      <c r="G2" s="10" t="s">
        <v>35</v>
      </c>
      <c r="H2" s="10" t="s">
        <v>0</v>
      </c>
      <c r="I2" s="10" t="s">
        <v>35</v>
      </c>
      <c r="J2" s="10" t="s">
        <v>35</v>
      </c>
      <c r="K2" s="10" t="s">
        <v>35</v>
      </c>
      <c r="L2" s="10" t="s">
        <v>35</v>
      </c>
      <c r="M2" s="10" t="s">
        <v>35</v>
      </c>
      <c r="N2" s="10" t="s">
        <v>35</v>
      </c>
    </row>
    <row r="3" spans="1:14" x14ac:dyDescent="0.3">
      <c r="A3" s="1" t="s">
        <v>83</v>
      </c>
      <c r="B3" s="1"/>
      <c r="C3" s="1"/>
      <c r="D3" s="2">
        <v>8</v>
      </c>
      <c r="E3" s="2">
        <v>21600</v>
      </c>
      <c r="F3" s="2">
        <v>0</v>
      </c>
      <c r="G3" s="2">
        <v>0</v>
      </c>
      <c r="H3" s="2">
        <v>43.77</v>
      </c>
      <c r="I3" s="2">
        <v>118179</v>
      </c>
      <c r="J3" s="2">
        <v>139779</v>
      </c>
      <c r="K3" s="2">
        <v>139779</v>
      </c>
      <c r="L3" s="2" t="s">
        <v>40</v>
      </c>
      <c r="M3" s="2" t="s">
        <v>40</v>
      </c>
      <c r="N3" s="2">
        <v>139779</v>
      </c>
    </row>
    <row r="4" spans="1:14" x14ac:dyDescent="0.3">
      <c r="A4" s="1" t="s">
        <v>84</v>
      </c>
      <c r="B4" s="1"/>
      <c r="C4" s="1"/>
      <c r="D4" s="2">
        <v>8</v>
      </c>
      <c r="E4" s="2">
        <v>13616</v>
      </c>
      <c r="F4" s="2">
        <v>2</v>
      </c>
      <c r="G4" s="2">
        <v>5106</v>
      </c>
      <c r="H4" s="2">
        <v>48</v>
      </c>
      <c r="I4" s="2">
        <v>81696</v>
      </c>
      <c r="J4" s="2">
        <v>100418</v>
      </c>
      <c r="K4" s="2">
        <v>100418</v>
      </c>
      <c r="L4" s="2" t="s">
        <v>40</v>
      </c>
      <c r="M4" s="2">
        <v>425395.1</v>
      </c>
      <c r="N4" s="2">
        <v>525813.1</v>
      </c>
    </row>
    <row r="5" spans="1:14" x14ac:dyDescent="0.3">
      <c r="A5" s="1" t="s">
        <v>85</v>
      </c>
      <c r="B5" s="1"/>
      <c r="C5" s="1"/>
      <c r="D5" s="2">
        <v>8</v>
      </c>
      <c r="E5" s="2">
        <v>16000</v>
      </c>
      <c r="F5" s="2">
        <v>0</v>
      </c>
      <c r="G5" s="2">
        <v>0</v>
      </c>
      <c r="H5" s="2">
        <v>47</v>
      </c>
      <c r="I5" s="2">
        <v>94000</v>
      </c>
      <c r="J5" s="2">
        <v>110000</v>
      </c>
      <c r="K5" s="2">
        <v>110000</v>
      </c>
      <c r="L5" s="2">
        <v>57435.69</v>
      </c>
      <c r="M5" s="2" t="s">
        <v>40</v>
      </c>
      <c r="N5" s="2">
        <v>167435.69</v>
      </c>
    </row>
    <row r="6" spans="1:14" x14ac:dyDescent="0.3">
      <c r="A6" s="1" t="s">
        <v>34</v>
      </c>
      <c r="B6" s="1"/>
      <c r="C6" s="1"/>
      <c r="D6" s="2">
        <v>24</v>
      </c>
      <c r="E6" s="2">
        <v>51216</v>
      </c>
      <c r="F6" s="2">
        <v>2</v>
      </c>
      <c r="G6" s="2">
        <v>5106</v>
      </c>
      <c r="H6" s="2">
        <v>138.77000000000001</v>
      </c>
      <c r="I6" s="2">
        <v>293875</v>
      </c>
      <c r="J6" s="2">
        <v>350197</v>
      </c>
      <c r="K6" s="2">
        <v>350197</v>
      </c>
      <c r="L6" s="2">
        <v>57435.69</v>
      </c>
      <c r="M6" s="2">
        <v>425395.1</v>
      </c>
      <c r="N6" s="2">
        <v>833027.79</v>
      </c>
    </row>
  </sheetData>
  <mergeCells count="9">
    <mergeCell ref="A4:C4"/>
    <mergeCell ref="A5:C5"/>
    <mergeCell ref="A6:C6"/>
    <mergeCell ref="A1:C1"/>
    <mergeCell ref="D1:E1"/>
    <mergeCell ref="F1:G1"/>
    <mergeCell ref="H1:I1"/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2026-04-18T21:25:33Z</dcterms:modified>
</cp:coreProperties>
</file>