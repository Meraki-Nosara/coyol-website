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649a0e3bd09d9a/Desktop/MERAKI MARYON ABRIL 2026/"/>
    </mc:Choice>
  </mc:AlternateContent>
  <xr:revisionPtr revIDLastSave="0" documentId="13_ncr:3_{94E2D059-53BE-4A89-9A97-2FD80BBE1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</calcChain>
</file>

<file path=xl/sharedStrings.xml><?xml version="1.0" encoding="utf-8"?>
<sst xmlns="http://schemas.openxmlformats.org/spreadsheetml/2006/main" count="440" uniqueCount="82">
  <si>
    <t>Cantidad</t>
  </si>
  <si>
    <t>Desc. empleado</t>
  </si>
  <si>
    <t>ALEJANDRO XAVIER SALAZAR CARVAJAL</t>
  </si>
  <si>
    <t>BRYAN ONIEL ZAMORA CRUZ</t>
  </si>
  <si>
    <t>BYRON ANTONIO ESPINOZA ALVARADO</t>
  </si>
  <si>
    <t>CARLOS VARGAS FERNANDEZ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</si>
  <si>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</si>
  <si>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</si>
  <si>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</si>
  <si>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</si>
  <si>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</si>
  <si>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ERICK ANTONIO CISNE SILVA</t>
  </si>
  <si>
    <t>ESMERALDA DAYANA LOPEZ MATARRITA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</si>
  <si>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</si>
  <si>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</si>
  <si>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</si>
  <si>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</si>
  <si>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</si>
  <si>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</si>
  <si>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</si>
  <si>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JORDAN ENRIQUE JIMENEZ GONZALES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</si>
  <si>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</si>
  <si>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</si>
  <si>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</si>
  <si>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</si>
  <si>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</si>
  <si>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MARCO GERVASINI MARTINEZ</t>
  </si>
  <si>
    <t>MARIA NELA HERNANDEZ GUTIERREZ</t>
  </si>
  <si>
    <t>MARIA TERESA SABALLO MAYORGA</t>
  </si>
  <si>
    <t>MARISELA DEL CARMEN MENDOZA CALERO</t>
  </si>
  <si>
    <t>NIELSI SELENE NAVARRETE GOMEZ</t>
  </si>
  <si>
    <t>ROSAURA CASTILLO ALVARADO</t>
  </si>
  <si>
    <t>VERONICA MEJIA GONZALES</t>
  </si>
  <si>
    <t>ZULEYMA RUIZ CAMPOS</t>
  </si>
  <si>
    <t>Total general</t>
  </si>
  <si>
    <t>Monto</t>
  </si>
  <si>
    <t>Aporte patronal CCSS</t>
  </si>
  <si>
    <t>CCSS  (10.83%)</t>
  </si>
  <si>
    <t>Horas Apoyo Esh</t>
  </si>
  <si>
    <t/>
  </si>
  <si>
    <t>Horas Extras Diurnas</t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</si>
  <si>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</si>
  <si>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</si>
  <si>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</si>
  <si>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</si>
  <si>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</si>
  <si>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</si>
  <si>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</si>
  <si>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</si>
  <si>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Trampas de Grasa</t>
  </si>
  <si>
    <t>NOMINA COYOL SEMANA 24 AL 30 ABRIL 2026</t>
  </si>
  <si>
    <t>Limpieza Coyol</t>
  </si>
  <si>
    <t>ALVARO LUIS PIÑAR JIMENEZ</t>
  </si>
  <si>
    <t>ANDRES TROCONIS ROMERO</t>
  </si>
  <si>
    <t>ANTHONY WRIGHT JIMENEZ</t>
  </si>
  <si>
    <t>AURORA MARIA PRENDAS HERNANDEZ</t>
  </si>
  <si>
    <t>GEORGE DANIEL LOPEZ GOMEZ</t>
  </si>
  <si>
    <t>JOHN FREISER LOPEZ JIMENEZ</t>
  </si>
  <si>
    <t>JOSE ALEJANDRO JUAREZ TREMINIO</t>
  </si>
  <si>
    <t>JOSE HUMBERTO VARGAS CALDERON</t>
  </si>
  <si>
    <t>LEINER RODRIGUEZ VILLALOBOS</t>
  </si>
  <si>
    <t>LUIS ALEJANDRO ARCE ALFARO</t>
  </si>
  <si>
    <t>MEYLING DE LOS ANGELES PINEDA PALACIOS</t>
  </si>
  <si>
    <t>MOISES DORMUZ CASTILLO</t>
  </si>
  <si>
    <t>SOFIA NATALIA CAMPOS BRENEZ</t>
  </si>
  <si>
    <t>YEFERSON JESUA RIVERA GUEVARA</t>
  </si>
  <si>
    <t>YORDANY DIAZ MATARRITA</t>
  </si>
  <si>
    <t>NOMINA LA LUNA SEMANA 24 AL 30 ABRIL 2026</t>
  </si>
  <si>
    <t>NOMINA ESH SEMANA 24 AL 30 ABRIL 2026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</si>
  <si>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</si>
  <si>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</si>
  <si>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</si>
  <si>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</si>
  <si>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</si>
  <si>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</si>
  <si>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</si>
  <si>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</si>
  <si>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RAUL RODRIGUEZ MONTIEL</t>
  </si>
  <si>
    <t>SILVIA PILAR RODRIGUEZ MATARRITA</t>
  </si>
  <si>
    <t>NOMINA ESPECIAL SAMANA 24-30 ABRIL 2026</t>
  </si>
  <si>
    <t>ELVIN JAVIER LOPEZ LOPEZ</t>
  </si>
  <si>
    <t>JASSON ESPINOZA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</si>
</sst>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showGridLines="0" tabSelected="1" workbookViewId="0">
      <selection activeCell="D1" sqref="D1"/>
    </sheetView>
  </sheetViews>
  <sheetFormatPr baseColWidth="10" defaultRowHeight="14.4" x14ac:dyDescent="0.3"/>
  <cols>
    <col min="1" max="1" width="7.6640625" customWidth="1"/>
    <col min="2" max="2" width="5.88671875" customWidth="1"/>
    <col min="3" max="3" width="34.5546875" customWidth="1"/>
    <col min="4" max="4" width="15.6640625" bestFit="1" customWidth="1"/>
    <col min="5" max="5" width="14.33203125" customWidth="1"/>
    <col min="6" max="6" width="6.88671875" bestFit="1" customWidth="1"/>
    <col min="7" max="7" width="14.33203125" customWidth="1"/>
    <col min="8" max="8" width="6.88671875" bestFit="1" customWidth="1"/>
    <col min="9" max="9" width="9.88671875" bestFit="1" customWidth="1"/>
    <col min="10" max="10" width="8.77734375" bestFit="1" customWidth="1"/>
    <col min="11" max="11" width="14.33203125" customWidth="1"/>
    <col min="12" max="12" width="6.88671875" bestFit="1" customWidth="1"/>
    <col min="13" max="20" width="14.33203125" customWidth="1"/>
  </cols>
  <sheetData>
    <row r="1" spans="1:20" ht="15" customHeight="1" x14ac:dyDescent="0.3">
      <c r="A1" s="16" t="s">
        <v>67</v>
      </c>
      <c r="B1" s="17"/>
      <c r="C1" s="18"/>
      <c r="D1" s="13"/>
      <c r="E1" s="13"/>
      <c r="F1" s="5" t="s">
        <v>38</v>
      </c>
      <c r="G1" s="5"/>
      <c r="H1" s="5" t="s">
        <v>40</v>
      </c>
      <c r="I1" s="5"/>
      <c r="J1" s="5" t="s">
        <v>41</v>
      </c>
      <c r="K1" s="5"/>
      <c r="L1" s="5" t="s">
        <v>43</v>
      </c>
      <c r="M1" s="5"/>
      <c r="N1" s="13" t="s">
        <v>44</v>
      </c>
      <c r="O1" s="13" t="s">
        <v>45</v>
      </c>
      <c r="P1" s="13" t="s">
        <v>46</v>
      </c>
      <c r="Q1" s="13" t="s">
        <v>47</v>
      </c>
      <c r="R1" s="13" t="s">
        <v>48</v>
      </c>
      <c r="S1" s="13" t="s">
        <v>49</v>
      </c>
      <c r="T1" s="13" t="s">
        <v>42</v>
      </c>
    </row>
    <row r="2" spans="1:20" ht="15" customHeight="1" x14ac:dyDescent="0.3">
      <c r="A2" s="14" t="s">
        <v>1</v>
      </c>
      <c r="B2" s="14"/>
      <c r="C2" s="14"/>
      <c r="D2" s="15" t="s">
        <v>36</v>
      </c>
      <c r="E2" s="13" t="s">
        <v>37</v>
      </c>
      <c r="F2" s="15" t="s">
        <v>0</v>
      </c>
      <c r="G2" s="15" t="s">
        <v>35</v>
      </c>
      <c r="H2" s="15" t="s">
        <v>0</v>
      </c>
      <c r="I2" s="15" t="s">
        <v>35</v>
      </c>
      <c r="J2" s="15" t="s">
        <v>0</v>
      </c>
      <c r="K2" s="15" t="s">
        <v>35</v>
      </c>
      <c r="L2" s="15" t="s">
        <v>0</v>
      </c>
      <c r="M2" s="15" t="s">
        <v>35</v>
      </c>
      <c r="N2" s="15" t="s">
        <v>35</v>
      </c>
      <c r="O2" s="15" t="s">
        <v>35</v>
      </c>
      <c r="P2" s="15" t="s">
        <v>35</v>
      </c>
      <c r="Q2" s="15" t="s">
        <v>35</v>
      </c>
      <c r="R2" s="15" t="s">
        <v>35</v>
      </c>
      <c r="S2" s="15" t="s">
        <v>35</v>
      </c>
      <c r="T2" s="15" t="s">
        <v>35</v>
      </c>
    </row>
    <row r="3" spans="1:20" ht="15" customHeight="1" x14ac:dyDescent="0.3">
      <c r="A3" s="1" t="s">
        <v>2</v>
      </c>
      <c r="B3" s="1"/>
      <c r="C3" s="1"/>
      <c r="D3" s="2">
        <v>29660.57</v>
      </c>
      <c r="E3" s="2">
        <v>11972.57</v>
      </c>
      <c r="F3" s="2" t="s">
        <v>39</v>
      </c>
      <c r="G3" s="2" t="s">
        <v>39</v>
      </c>
      <c r="H3" s="2">
        <v>1.5</v>
      </c>
      <c r="I3" s="2">
        <v>4950</v>
      </c>
      <c r="J3" s="2">
        <v>48</v>
      </c>
      <c r="K3" s="2">
        <v>105600</v>
      </c>
      <c r="L3" s="2" t="s">
        <v>39</v>
      </c>
      <c r="M3" s="2" t="s">
        <v>39</v>
      </c>
      <c r="N3" s="2" t="s">
        <v>39</v>
      </c>
      <c r="O3" s="2">
        <v>110550</v>
      </c>
      <c r="P3" s="2">
        <v>98577.43</v>
      </c>
      <c r="Q3" s="2">
        <v>50102.16</v>
      </c>
      <c r="R3" s="2" t="s">
        <v>39</v>
      </c>
      <c r="S3" s="2" t="s">
        <v>39</v>
      </c>
      <c r="T3" s="2">
        <v>148679.59</v>
      </c>
    </row>
    <row r="4" spans="1:20" ht="15" customHeight="1" x14ac:dyDescent="0.3">
      <c r="A4" s="1" t="s">
        <v>3</v>
      </c>
      <c r="B4" s="1"/>
      <c r="C4" s="1"/>
      <c r="D4" s="2">
        <v>25756.799999999999</v>
      </c>
      <c r="E4" s="2">
        <v>10396.799999999999</v>
      </c>
      <c r="F4" s="2" t="s">
        <v>39</v>
      </c>
      <c r="G4" s="2" t="s">
        <v>39</v>
      </c>
      <c r="H4" s="2">
        <v>0</v>
      </c>
      <c r="I4" s="2">
        <v>0</v>
      </c>
      <c r="J4" s="2">
        <v>48</v>
      </c>
      <c r="K4" s="2">
        <v>96000</v>
      </c>
      <c r="L4" s="2" t="s">
        <v>39</v>
      </c>
      <c r="M4" s="2" t="s">
        <v>39</v>
      </c>
      <c r="N4" s="2" t="s">
        <v>39</v>
      </c>
      <c r="O4" s="2">
        <v>96000</v>
      </c>
      <c r="P4" s="2">
        <v>85603.199999999997</v>
      </c>
      <c r="Q4" s="2">
        <v>50102.16</v>
      </c>
      <c r="R4" s="2" t="s">
        <v>39</v>
      </c>
      <c r="S4" s="2" t="s">
        <v>39</v>
      </c>
      <c r="T4" s="2">
        <v>135705.35999999999</v>
      </c>
    </row>
    <row r="5" spans="1:20" ht="15" customHeight="1" x14ac:dyDescent="0.3">
      <c r="A5" s="1" t="s">
        <v>4</v>
      </c>
      <c r="B5" s="1"/>
      <c r="C5" s="1"/>
      <c r="D5" s="2">
        <v>28670.54</v>
      </c>
      <c r="E5" s="2">
        <v>11572.94</v>
      </c>
      <c r="F5" s="2" t="s">
        <v>39</v>
      </c>
      <c r="G5" s="2" t="s">
        <v>39</v>
      </c>
      <c r="H5" s="2">
        <v>0</v>
      </c>
      <c r="I5" s="2">
        <v>0</v>
      </c>
      <c r="J5" s="2">
        <v>41.1</v>
      </c>
      <c r="K5" s="2">
        <v>106860</v>
      </c>
      <c r="L5" s="2" t="s">
        <v>39</v>
      </c>
      <c r="M5" s="2" t="s">
        <v>39</v>
      </c>
      <c r="N5" s="2" t="s">
        <v>39</v>
      </c>
      <c r="O5" s="2">
        <v>106860</v>
      </c>
      <c r="P5" s="2">
        <v>95287.06</v>
      </c>
      <c r="Q5" s="2">
        <v>23918.45</v>
      </c>
      <c r="R5" s="2" t="s">
        <v>39</v>
      </c>
      <c r="S5" s="2" t="s">
        <v>39</v>
      </c>
      <c r="T5" s="2">
        <v>119205.51</v>
      </c>
    </row>
    <row r="6" spans="1:20" ht="15" customHeight="1" x14ac:dyDescent="0.3">
      <c r="A6" s="1" t="s">
        <v>5</v>
      </c>
      <c r="B6" s="1"/>
      <c r="C6" s="1"/>
      <c r="D6" s="2">
        <v>16643.349999999999</v>
      </c>
      <c r="E6" s="2">
        <v>6718.13</v>
      </c>
      <c r="F6" s="2" t="s">
        <v>39</v>
      </c>
      <c r="G6" s="2" t="s">
        <v>39</v>
      </c>
      <c r="H6" s="2">
        <v>0</v>
      </c>
      <c r="I6" s="2">
        <v>0</v>
      </c>
      <c r="J6" s="2">
        <v>37.549999999999997</v>
      </c>
      <c r="K6" s="2">
        <v>62032.6</v>
      </c>
      <c r="L6" s="2" t="s">
        <v>39</v>
      </c>
      <c r="M6" s="2" t="s">
        <v>39</v>
      </c>
      <c r="N6" s="2" t="s">
        <v>39</v>
      </c>
      <c r="O6" s="2">
        <v>62032.6</v>
      </c>
      <c r="P6" s="2">
        <v>55314.47</v>
      </c>
      <c r="Q6" s="2" t="s">
        <v>39</v>
      </c>
      <c r="R6" s="2">
        <v>309074.27</v>
      </c>
      <c r="S6" s="2" t="s">
        <v>39</v>
      </c>
      <c r="T6" s="2">
        <v>364388.74</v>
      </c>
    </row>
    <row r="7" spans="1:20" ht="15" customHeight="1" x14ac:dyDescent="0.3">
      <c r="A7" s="1" t="s">
        <v>6</v>
      </c>
      <c r="B7" s="1"/>
      <c r="C7" s="1"/>
      <c r="D7" s="2">
        <v>26002.29</v>
      </c>
      <c r="E7" s="2">
        <v>10495.89</v>
      </c>
      <c r="F7" s="2" t="s">
        <v>39</v>
      </c>
      <c r="G7" s="2" t="s">
        <v>39</v>
      </c>
      <c r="H7" s="2">
        <v>0</v>
      </c>
      <c r="I7" s="2">
        <v>0</v>
      </c>
      <c r="J7" s="2">
        <v>46.15</v>
      </c>
      <c r="K7" s="2">
        <v>96915</v>
      </c>
      <c r="L7" s="2" t="s">
        <v>39</v>
      </c>
      <c r="M7" s="2" t="s">
        <v>39</v>
      </c>
      <c r="N7" s="2" t="s">
        <v>39</v>
      </c>
      <c r="O7" s="2">
        <v>96915</v>
      </c>
      <c r="P7" s="2">
        <v>86419.11</v>
      </c>
      <c r="Q7" s="2" t="s">
        <v>39</v>
      </c>
      <c r="R7" s="2">
        <v>405952.16</v>
      </c>
      <c r="S7" s="2" t="s">
        <v>39</v>
      </c>
      <c r="T7" s="2">
        <v>492371.27</v>
      </c>
    </row>
    <row r="8" spans="1:20" ht="15" customHeight="1" x14ac:dyDescent="0.3">
      <c r="A8" s="1" t="s">
        <v>7</v>
      </c>
      <c r="B8" s="1"/>
      <c r="C8" s="1"/>
      <c r="D8" s="2">
        <v>30908.16</v>
      </c>
      <c r="E8" s="2">
        <v>12476.16</v>
      </c>
      <c r="F8" s="2" t="s">
        <v>39</v>
      </c>
      <c r="G8" s="2" t="s">
        <v>39</v>
      </c>
      <c r="H8" s="2">
        <v>0</v>
      </c>
      <c r="I8" s="2">
        <v>0</v>
      </c>
      <c r="J8" s="2">
        <v>48</v>
      </c>
      <c r="K8" s="2">
        <v>115200</v>
      </c>
      <c r="L8" s="2" t="s">
        <v>39</v>
      </c>
      <c r="M8" s="2" t="s">
        <v>39</v>
      </c>
      <c r="N8" s="2" t="s">
        <v>39</v>
      </c>
      <c r="O8" s="2">
        <v>115200</v>
      </c>
      <c r="P8" s="2">
        <v>102723.84</v>
      </c>
      <c r="Q8" s="2">
        <v>47756.58</v>
      </c>
      <c r="R8" s="2" t="s">
        <v>39</v>
      </c>
      <c r="S8" s="2" t="s">
        <v>39</v>
      </c>
      <c r="T8" s="2">
        <v>150480.42000000001</v>
      </c>
    </row>
    <row r="9" spans="1:20" ht="15" customHeight="1" x14ac:dyDescent="0.3">
      <c r="A9" s="1" t="s">
        <v>8</v>
      </c>
      <c r="B9" s="1"/>
      <c r="C9" s="1"/>
      <c r="D9" s="2">
        <v>14085.75</v>
      </c>
      <c r="E9" s="2">
        <v>5685.75</v>
      </c>
      <c r="F9" s="2" t="s">
        <v>39</v>
      </c>
      <c r="G9" s="2" t="s">
        <v>39</v>
      </c>
      <c r="H9" s="2">
        <v>0</v>
      </c>
      <c r="I9" s="2">
        <v>0</v>
      </c>
      <c r="J9" s="2">
        <v>26.25</v>
      </c>
      <c r="K9" s="2">
        <v>52500</v>
      </c>
      <c r="L9" s="2" t="s">
        <v>39</v>
      </c>
      <c r="M9" s="2" t="s">
        <v>39</v>
      </c>
      <c r="N9" s="2" t="s">
        <v>39</v>
      </c>
      <c r="O9" s="2">
        <v>52500</v>
      </c>
      <c r="P9" s="2">
        <v>46814.25</v>
      </c>
      <c r="Q9" s="2" t="s">
        <v>39</v>
      </c>
      <c r="R9" s="2">
        <v>431354.56</v>
      </c>
      <c r="S9" s="2" t="s">
        <v>39</v>
      </c>
      <c r="T9" s="2">
        <v>478168.81</v>
      </c>
    </row>
    <row r="10" spans="1:20" ht="15" customHeight="1" x14ac:dyDescent="0.3">
      <c r="A10" s="1" t="s">
        <v>9</v>
      </c>
      <c r="B10" s="1"/>
      <c r="C10" s="1"/>
      <c r="D10" s="2">
        <v>10105.68</v>
      </c>
      <c r="E10" s="2">
        <v>4079.18</v>
      </c>
      <c r="F10" s="2" t="s">
        <v>39</v>
      </c>
      <c r="G10" s="2" t="s">
        <v>39</v>
      </c>
      <c r="H10" s="2">
        <v>0</v>
      </c>
      <c r="I10" s="2">
        <v>0</v>
      </c>
      <c r="J10" s="2">
        <v>22.8</v>
      </c>
      <c r="K10" s="2">
        <v>37665.599999999999</v>
      </c>
      <c r="L10" s="2" t="s">
        <v>39</v>
      </c>
      <c r="M10" s="2" t="s">
        <v>39</v>
      </c>
      <c r="N10" s="2" t="s">
        <v>39</v>
      </c>
      <c r="O10" s="2">
        <v>37665.599999999999</v>
      </c>
      <c r="P10" s="2">
        <v>33586.42</v>
      </c>
      <c r="Q10" s="2" t="s">
        <v>39</v>
      </c>
      <c r="R10" s="2">
        <v>258344.1</v>
      </c>
      <c r="S10" s="2" t="s">
        <v>39</v>
      </c>
      <c r="T10" s="2">
        <v>291930.52</v>
      </c>
    </row>
    <row r="11" spans="1:20" ht="15" customHeight="1" x14ac:dyDescent="0.3">
      <c r="A11" s="1" t="s">
        <v>10</v>
      </c>
      <c r="B11" s="1"/>
      <c r="C11" s="1"/>
      <c r="D11" s="2">
        <v>33483.839999999997</v>
      </c>
      <c r="E11" s="2">
        <v>13515.84</v>
      </c>
      <c r="F11" s="2" t="s">
        <v>39</v>
      </c>
      <c r="G11" s="2" t="s">
        <v>39</v>
      </c>
      <c r="H11" s="2">
        <v>0</v>
      </c>
      <c r="I11" s="2">
        <v>0</v>
      </c>
      <c r="J11" s="2">
        <v>48</v>
      </c>
      <c r="K11" s="2">
        <v>124800</v>
      </c>
      <c r="L11" s="2" t="s">
        <v>39</v>
      </c>
      <c r="M11" s="2" t="s">
        <v>39</v>
      </c>
      <c r="N11" s="2" t="s">
        <v>39</v>
      </c>
      <c r="O11" s="2">
        <v>124800</v>
      </c>
      <c r="P11" s="2">
        <v>111284.16</v>
      </c>
      <c r="Q11" s="2">
        <v>49040.13</v>
      </c>
      <c r="R11" s="2" t="s">
        <v>39</v>
      </c>
      <c r="S11" s="2" t="s">
        <v>39</v>
      </c>
      <c r="T11" s="2">
        <v>160324.29</v>
      </c>
    </row>
    <row r="12" spans="1:20" ht="15" customHeight="1" x14ac:dyDescent="0.3">
      <c r="A12" s="1" t="s">
        <v>11</v>
      </c>
      <c r="B12" s="1"/>
      <c r="C12" s="1"/>
      <c r="D12" s="2">
        <v>36569.29</v>
      </c>
      <c r="E12" s="2">
        <v>14761.29</v>
      </c>
      <c r="F12" s="2" t="s">
        <v>39</v>
      </c>
      <c r="G12" s="2" t="s">
        <v>39</v>
      </c>
      <c r="H12" s="2">
        <v>0</v>
      </c>
      <c r="I12" s="2">
        <v>0</v>
      </c>
      <c r="J12" s="2">
        <v>47</v>
      </c>
      <c r="K12" s="2">
        <v>136300</v>
      </c>
      <c r="L12" s="2" t="s">
        <v>39</v>
      </c>
      <c r="M12" s="2" t="s">
        <v>39</v>
      </c>
      <c r="N12" s="2" t="s">
        <v>39</v>
      </c>
      <c r="O12" s="2">
        <v>136300</v>
      </c>
      <c r="P12" s="2">
        <v>121538.71</v>
      </c>
      <c r="Q12" s="2">
        <v>49846.99</v>
      </c>
      <c r="R12" s="2" t="s">
        <v>39</v>
      </c>
      <c r="S12" s="2" t="s">
        <v>39</v>
      </c>
      <c r="T12" s="2">
        <v>171385.7</v>
      </c>
    </row>
    <row r="13" spans="1:20" ht="15" customHeight="1" x14ac:dyDescent="0.3">
      <c r="A13" s="1" t="s">
        <v>12</v>
      </c>
      <c r="B13" s="1"/>
      <c r="C13" s="1"/>
      <c r="D13" s="2">
        <v>24871.41</v>
      </c>
      <c r="E13" s="2">
        <v>10039.41</v>
      </c>
      <c r="F13" s="2" t="s">
        <v>39</v>
      </c>
      <c r="G13" s="2" t="s">
        <v>39</v>
      </c>
      <c r="H13" s="2">
        <v>0</v>
      </c>
      <c r="I13" s="2">
        <v>0</v>
      </c>
      <c r="J13" s="2">
        <v>46.35</v>
      </c>
      <c r="K13" s="2">
        <v>92700</v>
      </c>
      <c r="L13" s="2" t="s">
        <v>39</v>
      </c>
      <c r="M13" s="2" t="s">
        <v>39</v>
      </c>
      <c r="N13" s="2" t="s">
        <v>39</v>
      </c>
      <c r="O13" s="2">
        <v>92700</v>
      </c>
      <c r="P13" s="2">
        <v>82660.59</v>
      </c>
      <c r="Q13" s="2">
        <v>48164.86</v>
      </c>
      <c r="R13" s="2" t="s">
        <v>39</v>
      </c>
      <c r="S13" s="2" t="s">
        <v>39</v>
      </c>
      <c r="T13" s="2">
        <v>130825.45</v>
      </c>
    </row>
    <row r="14" spans="1:20" ht="15" customHeight="1" x14ac:dyDescent="0.3">
      <c r="A14" s="1" t="s">
        <v>13</v>
      </c>
      <c r="B14" s="1"/>
      <c r="C14" s="1"/>
      <c r="D14" s="2">
        <v>51755.07</v>
      </c>
      <c r="E14" s="2">
        <v>20891.07</v>
      </c>
      <c r="F14" s="2" t="s">
        <v>39</v>
      </c>
      <c r="G14" s="2" t="s">
        <v>39</v>
      </c>
      <c r="H14" s="2">
        <v>7</v>
      </c>
      <c r="I14" s="2">
        <v>25200</v>
      </c>
      <c r="J14" s="2">
        <v>48</v>
      </c>
      <c r="K14" s="2">
        <v>115200</v>
      </c>
      <c r="L14" s="2" t="s">
        <v>39</v>
      </c>
      <c r="M14" s="2" t="s">
        <v>39</v>
      </c>
      <c r="N14" s="2" t="s">
        <v>39</v>
      </c>
      <c r="O14" s="2">
        <v>192900</v>
      </c>
      <c r="P14" s="2">
        <v>172008.93</v>
      </c>
      <c r="Q14" s="2">
        <v>51393.63</v>
      </c>
      <c r="R14" s="2" t="s">
        <v>39</v>
      </c>
      <c r="S14" s="2">
        <v>52500</v>
      </c>
      <c r="T14" s="2">
        <v>223402.56</v>
      </c>
    </row>
    <row r="15" spans="1:20" ht="15" customHeight="1" x14ac:dyDescent="0.3">
      <c r="A15" s="1" t="s">
        <v>14</v>
      </c>
      <c r="B15" s="1"/>
      <c r="C15" s="1"/>
      <c r="D15" s="2">
        <v>27033.91</v>
      </c>
      <c r="E15" s="2">
        <v>10912.31</v>
      </c>
      <c r="F15" s="2" t="s">
        <v>39</v>
      </c>
      <c r="G15" s="2" t="s">
        <v>39</v>
      </c>
      <c r="H15" s="2">
        <v>0</v>
      </c>
      <c r="I15" s="2">
        <v>0</v>
      </c>
      <c r="J15" s="2">
        <v>45.8</v>
      </c>
      <c r="K15" s="2">
        <v>100760</v>
      </c>
      <c r="L15" s="2" t="s">
        <v>39</v>
      </c>
      <c r="M15" s="2" t="s">
        <v>39</v>
      </c>
      <c r="N15" s="2" t="s">
        <v>39</v>
      </c>
      <c r="O15" s="2">
        <v>100760</v>
      </c>
      <c r="P15" s="2">
        <v>89847.69</v>
      </c>
      <c r="Q15" s="2">
        <v>48457.17</v>
      </c>
      <c r="R15" s="2" t="s">
        <v>39</v>
      </c>
      <c r="S15" s="2" t="s">
        <v>39</v>
      </c>
      <c r="T15" s="2">
        <v>138304.85999999999</v>
      </c>
    </row>
    <row r="16" spans="1:20" ht="15" customHeight="1" x14ac:dyDescent="0.3">
      <c r="A16" s="1" t="s">
        <v>15</v>
      </c>
      <c r="B16" s="1"/>
      <c r="C16" s="1"/>
      <c r="D16" s="2">
        <v>23704.31</v>
      </c>
      <c r="E16" s="2">
        <v>9568.31</v>
      </c>
      <c r="F16" s="2" t="s">
        <v>39</v>
      </c>
      <c r="G16" s="2" t="s">
        <v>39</v>
      </c>
      <c r="H16" s="2">
        <v>0</v>
      </c>
      <c r="I16" s="2">
        <v>0</v>
      </c>
      <c r="J16" s="2">
        <v>28.5</v>
      </c>
      <c r="K16" s="2">
        <v>88350</v>
      </c>
      <c r="L16" s="2" t="s">
        <v>39</v>
      </c>
      <c r="M16" s="2" t="s">
        <v>39</v>
      </c>
      <c r="N16" s="2" t="s">
        <v>39</v>
      </c>
      <c r="O16" s="2">
        <v>88350</v>
      </c>
      <c r="P16" s="2">
        <v>78781.69</v>
      </c>
      <c r="Q16" s="2" t="s">
        <v>39</v>
      </c>
      <c r="R16" s="2">
        <v>240531.51</v>
      </c>
      <c r="S16" s="2" t="s">
        <v>39</v>
      </c>
      <c r="T16" s="2">
        <v>319313.2</v>
      </c>
    </row>
    <row r="17" spans="1:20" ht="15" customHeight="1" x14ac:dyDescent="0.3">
      <c r="A17" s="1" t="s">
        <v>16</v>
      </c>
      <c r="B17" s="1"/>
      <c r="C17" s="1"/>
      <c r="D17" s="2">
        <v>16266.6</v>
      </c>
      <c r="E17" s="2">
        <v>6566.06</v>
      </c>
      <c r="F17" s="2" t="s">
        <v>39</v>
      </c>
      <c r="G17" s="2" t="s">
        <v>39</v>
      </c>
      <c r="H17" s="2">
        <v>0</v>
      </c>
      <c r="I17" s="2">
        <v>0</v>
      </c>
      <c r="J17" s="2">
        <v>36.700000000000003</v>
      </c>
      <c r="K17" s="2">
        <v>60628.4</v>
      </c>
      <c r="L17" s="2" t="s">
        <v>39</v>
      </c>
      <c r="M17" s="2" t="s">
        <v>39</v>
      </c>
      <c r="N17" s="2">
        <v>50000</v>
      </c>
      <c r="O17" s="2">
        <v>60628.4</v>
      </c>
      <c r="P17" s="2">
        <v>4062.34</v>
      </c>
      <c r="Q17" s="2" t="s">
        <v>39</v>
      </c>
      <c r="R17" s="2">
        <v>424773.49</v>
      </c>
      <c r="S17" s="2" t="s">
        <v>39</v>
      </c>
      <c r="T17" s="2">
        <v>428835.83</v>
      </c>
    </row>
    <row r="18" spans="1:20" ht="15" customHeight="1" x14ac:dyDescent="0.3">
      <c r="A18" s="1" t="s">
        <v>17</v>
      </c>
      <c r="B18" s="1"/>
      <c r="C18" s="1"/>
      <c r="D18" s="2">
        <v>37025.4</v>
      </c>
      <c r="E18" s="2">
        <v>14945.4</v>
      </c>
      <c r="F18" s="2" t="s">
        <v>39</v>
      </c>
      <c r="G18" s="2" t="s">
        <v>39</v>
      </c>
      <c r="H18" s="2">
        <v>0</v>
      </c>
      <c r="I18" s="2">
        <v>0</v>
      </c>
      <c r="J18" s="2">
        <v>46</v>
      </c>
      <c r="K18" s="2">
        <v>138000</v>
      </c>
      <c r="L18" s="2" t="s">
        <v>39</v>
      </c>
      <c r="M18" s="2" t="s">
        <v>39</v>
      </c>
      <c r="N18" s="2" t="s">
        <v>39</v>
      </c>
      <c r="O18" s="2">
        <v>138000</v>
      </c>
      <c r="P18" s="2">
        <v>123054.6</v>
      </c>
      <c r="Q18" s="2">
        <v>48457.17</v>
      </c>
      <c r="R18" s="2" t="s">
        <v>39</v>
      </c>
      <c r="S18" s="2" t="s">
        <v>39</v>
      </c>
      <c r="T18" s="2">
        <v>171511.77</v>
      </c>
    </row>
    <row r="19" spans="1:20" ht="15" customHeight="1" x14ac:dyDescent="0.3">
      <c r="A19" s="1" t="s">
        <v>18</v>
      </c>
      <c r="B19" s="1"/>
      <c r="C19" s="1"/>
      <c r="D19" s="2">
        <v>22440.61</v>
      </c>
      <c r="E19" s="2">
        <v>9058.2099999999991</v>
      </c>
      <c r="F19" s="2">
        <v>3</v>
      </c>
      <c r="G19" s="2">
        <v>6600</v>
      </c>
      <c r="H19" s="2">
        <v>0</v>
      </c>
      <c r="I19" s="2">
        <v>0</v>
      </c>
      <c r="J19" s="2">
        <v>42.8</v>
      </c>
      <c r="K19" s="2">
        <v>77040</v>
      </c>
      <c r="L19" s="2" t="s">
        <v>39</v>
      </c>
      <c r="M19" s="2" t="s">
        <v>39</v>
      </c>
      <c r="N19" s="2" t="s">
        <v>39</v>
      </c>
      <c r="O19" s="2">
        <v>83640</v>
      </c>
      <c r="P19" s="2">
        <v>74581.789999999994</v>
      </c>
      <c r="Q19" s="2" t="s">
        <v>39</v>
      </c>
      <c r="R19" s="2">
        <v>435316.5</v>
      </c>
      <c r="S19" s="2" t="s">
        <v>39</v>
      </c>
      <c r="T19" s="2">
        <v>509898.29</v>
      </c>
    </row>
    <row r="20" spans="1:20" ht="15" customHeight="1" x14ac:dyDescent="0.3">
      <c r="A20" s="1" t="s">
        <v>19</v>
      </c>
      <c r="B20" s="1"/>
      <c r="C20" s="1"/>
      <c r="D20" s="2">
        <v>0</v>
      </c>
      <c r="E20" s="2">
        <v>0</v>
      </c>
      <c r="F20" s="2" t="s">
        <v>39</v>
      </c>
      <c r="G20" s="2" t="s">
        <v>39</v>
      </c>
      <c r="H20" s="2">
        <v>0</v>
      </c>
      <c r="I20" s="2">
        <v>0</v>
      </c>
      <c r="J20" s="2">
        <v>0</v>
      </c>
      <c r="K20" s="2">
        <v>0</v>
      </c>
      <c r="L20" s="2">
        <v>56</v>
      </c>
      <c r="M20" s="2">
        <v>0</v>
      </c>
      <c r="N20" s="2" t="s">
        <v>39</v>
      </c>
      <c r="O20" s="2">
        <v>0</v>
      </c>
      <c r="P20" s="2">
        <v>0</v>
      </c>
      <c r="Q20" s="2" t="s">
        <v>39</v>
      </c>
      <c r="R20" s="2">
        <v>0</v>
      </c>
      <c r="S20" s="2" t="s">
        <v>39</v>
      </c>
      <c r="T20" s="2">
        <v>0</v>
      </c>
    </row>
    <row r="21" spans="1:20" ht="15" customHeight="1" x14ac:dyDescent="0.3">
      <c r="A21" s="1" t="s">
        <v>20</v>
      </c>
      <c r="B21" s="1"/>
      <c r="C21" s="1"/>
      <c r="D21" s="2">
        <v>31391.1</v>
      </c>
      <c r="E21" s="2">
        <v>12671.1</v>
      </c>
      <c r="F21" s="2" t="s">
        <v>39</v>
      </c>
      <c r="G21" s="2" t="s">
        <v>39</v>
      </c>
      <c r="H21" s="2">
        <v>0</v>
      </c>
      <c r="I21" s="2">
        <v>0</v>
      </c>
      <c r="J21" s="2">
        <v>46.8</v>
      </c>
      <c r="K21" s="2">
        <v>117000</v>
      </c>
      <c r="L21" s="2" t="s">
        <v>39</v>
      </c>
      <c r="M21" s="2" t="s">
        <v>39</v>
      </c>
      <c r="N21" s="2" t="s">
        <v>39</v>
      </c>
      <c r="O21" s="2">
        <v>117000</v>
      </c>
      <c r="P21" s="2">
        <v>104328.9</v>
      </c>
      <c r="Q21" s="2">
        <v>25051.06</v>
      </c>
      <c r="R21" s="2" t="s">
        <v>39</v>
      </c>
      <c r="S21" s="2" t="s">
        <v>39</v>
      </c>
      <c r="T21" s="2">
        <v>129379.96</v>
      </c>
    </row>
    <row r="22" spans="1:20" ht="15" customHeight="1" x14ac:dyDescent="0.3">
      <c r="A22" s="1" t="s">
        <v>21</v>
      </c>
      <c r="B22" s="1"/>
      <c r="C22" s="1"/>
      <c r="D22" s="2">
        <v>38758.620000000003</v>
      </c>
      <c r="E22" s="2">
        <v>15645.02</v>
      </c>
      <c r="F22" s="2" t="s">
        <v>39</v>
      </c>
      <c r="G22" s="2" t="s">
        <v>39</v>
      </c>
      <c r="H22" s="2">
        <v>0</v>
      </c>
      <c r="I22" s="2">
        <v>0</v>
      </c>
      <c r="J22" s="2">
        <v>46.6</v>
      </c>
      <c r="K22" s="2">
        <v>144460</v>
      </c>
      <c r="L22" s="2" t="s">
        <v>39</v>
      </c>
      <c r="M22" s="2" t="s">
        <v>39</v>
      </c>
      <c r="N22" s="2">
        <v>0</v>
      </c>
      <c r="O22" s="2">
        <v>144460</v>
      </c>
      <c r="P22" s="2">
        <v>128814.98</v>
      </c>
      <c r="Q22" s="2">
        <v>50993.26</v>
      </c>
      <c r="R22" s="2" t="s">
        <v>39</v>
      </c>
      <c r="S22" s="2" t="s">
        <v>39</v>
      </c>
      <c r="T22" s="2">
        <v>179808.24</v>
      </c>
    </row>
    <row r="23" spans="1:20" ht="15" customHeight="1" x14ac:dyDescent="0.3">
      <c r="A23" s="1" t="s">
        <v>22</v>
      </c>
      <c r="B23" s="1"/>
      <c r="C23" s="1"/>
      <c r="D23" s="2">
        <v>38635.199999999997</v>
      </c>
      <c r="E23" s="2">
        <v>15595.2</v>
      </c>
      <c r="F23" s="2" t="s">
        <v>39</v>
      </c>
      <c r="G23" s="2" t="s">
        <v>39</v>
      </c>
      <c r="H23" s="2">
        <v>0</v>
      </c>
      <c r="I23" s="2">
        <v>0</v>
      </c>
      <c r="J23" s="2">
        <v>48</v>
      </c>
      <c r="K23" s="2">
        <v>144000</v>
      </c>
      <c r="L23" s="2" t="s">
        <v>39</v>
      </c>
      <c r="M23" s="2" t="s">
        <v>39</v>
      </c>
      <c r="N23" s="2" t="s">
        <v>39</v>
      </c>
      <c r="O23" s="2">
        <v>144000</v>
      </c>
      <c r="P23" s="2">
        <v>128404.8</v>
      </c>
      <c r="Q23" s="2" t="s">
        <v>39</v>
      </c>
      <c r="R23" s="2">
        <v>472557.85</v>
      </c>
      <c r="S23" s="2" t="s">
        <v>39</v>
      </c>
      <c r="T23" s="2">
        <v>600962.65</v>
      </c>
    </row>
    <row r="24" spans="1:20" ht="15" customHeight="1" x14ac:dyDescent="0.3">
      <c r="A24" s="1" t="s">
        <v>23</v>
      </c>
      <c r="B24" s="1"/>
      <c r="C24" s="1"/>
      <c r="D24" s="2">
        <v>13718.02</v>
      </c>
      <c r="E24" s="2">
        <v>5537.31</v>
      </c>
      <c r="F24" s="2" t="s">
        <v>39</v>
      </c>
      <c r="G24" s="2" t="s">
        <v>39</v>
      </c>
      <c r="H24" s="2">
        <v>0</v>
      </c>
      <c r="I24" s="2">
        <v>0</v>
      </c>
      <c r="J24" s="2">
        <v>30.95</v>
      </c>
      <c r="K24" s="2">
        <v>51129.4</v>
      </c>
      <c r="L24" s="2" t="s">
        <v>39</v>
      </c>
      <c r="M24" s="2" t="s">
        <v>39</v>
      </c>
      <c r="N24" s="2" t="s">
        <v>39</v>
      </c>
      <c r="O24" s="2">
        <v>51129.4</v>
      </c>
      <c r="P24" s="2">
        <v>45592.09</v>
      </c>
      <c r="Q24" s="2" t="s">
        <v>39</v>
      </c>
      <c r="R24" s="2">
        <v>255565.5</v>
      </c>
      <c r="S24" s="2" t="s">
        <v>39</v>
      </c>
      <c r="T24" s="2">
        <v>301157.59000000003</v>
      </c>
    </row>
    <row r="25" spans="1:20" ht="15" customHeight="1" x14ac:dyDescent="0.3">
      <c r="A25" s="1" t="s">
        <v>24</v>
      </c>
      <c r="B25" s="1"/>
      <c r="C25" s="1"/>
      <c r="D25" s="2">
        <v>12410.48</v>
      </c>
      <c r="E25" s="2">
        <v>5009.5200000000004</v>
      </c>
      <c r="F25" s="2" t="s">
        <v>39</v>
      </c>
      <c r="G25" s="2" t="s">
        <v>39</v>
      </c>
      <c r="H25" s="2">
        <v>0</v>
      </c>
      <c r="I25" s="2">
        <v>0</v>
      </c>
      <c r="J25" s="2">
        <v>28</v>
      </c>
      <c r="K25" s="2">
        <v>46256</v>
      </c>
      <c r="L25" s="2" t="s">
        <v>39</v>
      </c>
      <c r="M25" s="2" t="s">
        <v>39</v>
      </c>
      <c r="N25" s="2" t="s">
        <v>39</v>
      </c>
      <c r="O25" s="2">
        <v>46256</v>
      </c>
      <c r="P25" s="2">
        <v>41246.480000000003</v>
      </c>
      <c r="Q25" s="2" t="s">
        <v>39</v>
      </c>
      <c r="R25" s="2">
        <v>317446.25</v>
      </c>
      <c r="S25" s="2" t="s">
        <v>39</v>
      </c>
      <c r="T25" s="2">
        <v>358692.73</v>
      </c>
    </row>
    <row r="26" spans="1:20" ht="15" customHeight="1" x14ac:dyDescent="0.3">
      <c r="A26" s="1" t="s">
        <v>25</v>
      </c>
      <c r="B26" s="1"/>
      <c r="C26" s="1"/>
      <c r="D26" s="2">
        <v>32707.11</v>
      </c>
      <c r="E26" s="2">
        <v>13202.31</v>
      </c>
      <c r="F26" s="2" t="s">
        <v>39</v>
      </c>
      <c r="G26" s="2" t="s">
        <v>39</v>
      </c>
      <c r="H26" s="2">
        <v>0</v>
      </c>
      <c r="I26" s="2">
        <v>0</v>
      </c>
      <c r="J26" s="2">
        <v>45.15</v>
      </c>
      <c r="K26" s="2">
        <v>121905</v>
      </c>
      <c r="L26" s="2" t="s">
        <v>39</v>
      </c>
      <c r="M26" s="2" t="s">
        <v>39</v>
      </c>
      <c r="N26" s="2" t="s">
        <v>39</v>
      </c>
      <c r="O26" s="2">
        <v>121905</v>
      </c>
      <c r="P26" s="2">
        <v>108702.69</v>
      </c>
      <c r="Q26" s="2">
        <v>49040.13</v>
      </c>
      <c r="R26" s="2" t="s">
        <v>39</v>
      </c>
      <c r="S26" s="2" t="s">
        <v>39</v>
      </c>
      <c r="T26" s="2">
        <v>157742.82</v>
      </c>
    </row>
    <row r="27" spans="1:20" ht="15" customHeight="1" x14ac:dyDescent="0.3">
      <c r="A27" s="1" t="s">
        <v>26</v>
      </c>
      <c r="B27" s="1"/>
      <c r="C27" s="1"/>
      <c r="D27" s="2">
        <v>39622.54</v>
      </c>
      <c r="E27" s="2">
        <v>15993.74</v>
      </c>
      <c r="F27" s="2" t="s">
        <v>39</v>
      </c>
      <c r="G27" s="2" t="s">
        <v>39</v>
      </c>
      <c r="H27" s="2">
        <v>0</v>
      </c>
      <c r="I27" s="2">
        <v>0</v>
      </c>
      <c r="J27" s="2">
        <v>46.15</v>
      </c>
      <c r="K27" s="2">
        <v>147680</v>
      </c>
      <c r="L27" s="2" t="s">
        <v>39</v>
      </c>
      <c r="M27" s="2" t="s">
        <v>39</v>
      </c>
      <c r="N27" s="2" t="s">
        <v>39</v>
      </c>
      <c r="O27" s="2">
        <v>147680</v>
      </c>
      <c r="P27" s="2">
        <v>131686.26</v>
      </c>
      <c r="Q27" s="2">
        <v>50102.16</v>
      </c>
      <c r="R27" s="2" t="s">
        <v>39</v>
      </c>
      <c r="S27" s="2" t="s">
        <v>39</v>
      </c>
      <c r="T27" s="2">
        <v>181788.42</v>
      </c>
    </row>
    <row r="28" spans="1:20" ht="15" customHeight="1" x14ac:dyDescent="0.3">
      <c r="A28" s="1" t="s">
        <v>27</v>
      </c>
      <c r="B28" s="1"/>
      <c r="C28" s="1"/>
      <c r="D28" s="2">
        <v>29302.38</v>
      </c>
      <c r="E28" s="2">
        <v>11827.98</v>
      </c>
      <c r="F28" s="2" t="s">
        <v>39</v>
      </c>
      <c r="G28" s="2" t="s">
        <v>39</v>
      </c>
      <c r="H28" s="2">
        <v>0</v>
      </c>
      <c r="I28" s="2">
        <v>0</v>
      </c>
      <c r="J28" s="2">
        <v>40.450000000000003</v>
      </c>
      <c r="K28" s="2">
        <v>109215</v>
      </c>
      <c r="L28" s="2" t="s">
        <v>39</v>
      </c>
      <c r="M28" s="2" t="s">
        <v>39</v>
      </c>
      <c r="N28" s="2" t="s">
        <v>39</v>
      </c>
      <c r="O28" s="2">
        <v>109215</v>
      </c>
      <c r="P28" s="2">
        <v>97387.02</v>
      </c>
      <c r="Q28" s="2">
        <v>48164.86</v>
      </c>
      <c r="R28" s="2" t="s">
        <v>39</v>
      </c>
      <c r="S28" s="2" t="s">
        <v>39</v>
      </c>
      <c r="T28" s="2">
        <v>145551.88</v>
      </c>
    </row>
    <row r="29" spans="1:20" ht="15" customHeight="1" x14ac:dyDescent="0.3">
      <c r="A29" s="1" t="s">
        <v>28</v>
      </c>
      <c r="B29" s="1"/>
      <c r="C29" s="1"/>
      <c r="D29" s="2">
        <v>27044.639999999999</v>
      </c>
      <c r="E29" s="2">
        <v>10916.64</v>
      </c>
      <c r="F29" s="2" t="s">
        <v>39</v>
      </c>
      <c r="G29" s="2" t="s">
        <v>39</v>
      </c>
      <c r="H29" s="2">
        <v>0</v>
      </c>
      <c r="I29" s="2">
        <v>0</v>
      </c>
      <c r="J29" s="2">
        <v>48</v>
      </c>
      <c r="K29" s="2">
        <v>100800</v>
      </c>
      <c r="L29" s="2" t="s">
        <v>39</v>
      </c>
      <c r="M29" s="2" t="s">
        <v>39</v>
      </c>
      <c r="N29" s="2" t="s">
        <v>39</v>
      </c>
      <c r="O29" s="2">
        <v>100800</v>
      </c>
      <c r="P29" s="2">
        <v>89883.36</v>
      </c>
      <c r="Q29" s="2">
        <v>50993.26</v>
      </c>
      <c r="R29" s="2" t="s">
        <v>39</v>
      </c>
      <c r="S29" s="2" t="s">
        <v>39</v>
      </c>
      <c r="T29" s="2">
        <v>140876.62</v>
      </c>
    </row>
    <row r="30" spans="1:20" ht="15" customHeight="1" x14ac:dyDescent="0.3">
      <c r="A30" s="1" t="s">
        <v>29</v>
      </c>
      <c r="B30" s="1"/>
      <c r="C30" s="1"/>
      <c r="D30" s="2">
        <v>21665.23</v>
      </c>
      <c r="E30" s="2">
        <v>8745.23</v>
      </c>
      <c r="F30" s="2" t="s">
        <v>39</v>
      </c>
      <c r="G30" s="2" t="s">
        <v>39</v>
      </c>
      <c r="H30" s="2">
        <v>0</v>
      </c>
      <c r="I30" s="2">
        <v>0</v>
      </c>
      <c r="J30" s="2">
        <v>32.299999999999997</v>
      </c>
      <c r="K30" s="2">
        <v>80750</v>
      </c>
      <c r="L30" s="2" t="s">
        <v>39</v>
      </c>
      <c r="M30" s="2" t="s">
        <v>39</v>
      </c>
      <c r="N30" s="2" t="s">
        <v>39</v>
      </c>
      <c r="O30" s="2">
        <v>80750</v>
      </c>
      <c r="P30" s="2">
        <v>72004.77</v>
      </c>
      <c r="Q30" s="2">
        <v>21070.46</v>
      </c>
      <c r="R30" s="2" t="s">
        <v>39</v>
      </c>
      <c r="S30" s="2" t="s">
        <v>39</v>
      </c>
      <c r="T30" s="2">
        <v>93075.23</v>
      </c>
    </row>
    <row r="31" spans="1:20" ht="15" customHeight="1" x14ac:dyDescent="0.3">
      <c r="A31" s="1" t="s">
        <v>30</v>
      </c>
      <c r="B31" s="1"/>
      <c r="C31" s="1"/>
      <c r="D31" s="2">
        <v>9795.42</v>
      </c>
      <c r="E31" s="2">
        <v>3953.95</v>
      </c>
      <c r="F31" s="2" t="s">
        <v>39</v>
      </c>
      <c r="G31" s="2" t="s">
        <v>39</v>
      </c>
      <c r="H31" s="2">
        <v>0</v>
      </c>
      <c r="I31" s="2">
        <v>0</v>
      </c>
      <c r="J31" s="2">
        <v>22.1</v>
      </c>
      <c r="K31" s="2">
        <v>36509.199999999997</v>
      </c>
      <c r="L31" s="2" t="s">
        <v>39</v>
      </c>
      <c r="M31" s="2" t="s">
        <v>39</v>
      </c>
      <c r="N31" s="2" t="s">
        <v>39</v>
      </c>
      <c r="O31" s="2">
        <v>36509.199999999997</v>
      </c>
      <c r="P31" s="2">
        <v>32555.25</v>
      </c>
      <c r="Q31" s="2" t="s">
        <v>39</v>
      </c>
      <c r="R31" s="2">
        <v>179662.96</v>
      </c>
      <c r="S31" s="2" t="s">
        <v>39</v>
      </c>
      <c r="T31" s="2">
        <v>212218.21</v>
      </c>
    </row>
    <row r="32" spans="1:20" ht="15" customHeight="1" x14ac:dyDescent="0.3">
      <c r="A32" s="1" t="s">
        <v>31</v>
      </c>
      <c r="B32" s="1"/>
      <c r="C32" s="1"/>
      <c r="D32" s="2">
        <v>16983.39</v>
      </c>
      <c r="E32" s="2">
        <v>6855.39</v>
      </c>
      <c r="F32" s="2" t="s">
        <v>39</v>
      </c>
      <c r="G32" s="2" t="s">
        <v>39</v>
      </c>
      <c r="H32" s="2">
        <v>0</v>
      </c>
      <c r="I32" s="2">
        <v>0</v>
      </c>
      <c r="J32" s="2">
        <v>31.65</v>
      </c>
      <c r="K32" s="2">
        <v>63300</v>
      </c>
      <c r="L32" s="2" t="s">
        <v>39</v>
      </c>
      <c r="M32" s="2" t="s">
        <v>39</v>
      </c>
      <c r="N32" s="2" t="s">
        <v>39</v>
      </c>
      <c r="O32" s="2">
        <v>63300</v>
      </c>
      <c r="P32" s="2">
        <v>56444.61</v>
      </c>
      <c r="Q32" s="2" t="s">
        <v>39</v>
      </c>
      <c r="R32" s="2">
        <v>219031</v>
      </c>
      <c r="S32" s="2" t="s">
        <v>39</v>
      </c>
      <c r="T32" s="2">
        <v>275475.61</v>
      </c>
    </row>
    <row r="33" spans="1:20" ht="15" customHeight="1" x14ac:dyDescent="0.3">
      <c r="A33" s="1" t="s">
        <v>32</v>
      </c>
      <c r="B33" s="1"/>
      <c r="C33" s="1"/>
      <c r="D33" s="2">
        <v>16222.28</v>
      </c>
      <c r="E33" s="2">
        <v>6548.16</v>
      </c>
      <c r="F33" s="2" t="s">
        <v>39</v>
      </c>
      <c r="G33" s="2" t="s">
        <v>39</v>
      </c>
      <c r="H33" s="2">
        <v>0</v>
      </c>
      <c r="I33" s="2">
        <v>0</v>
      </c>
      <c r="J33" s="2">
        <v>36.6</v>
      </c>
      <c r="K33" s="2">
        <v>60463.199999999997</v>
      </c>
      <c r="L33" s="2" t="s">
        <v>39</v>
      </c>
      <c r="M33" s="2" t="s">
        <v>39</v>
      </c>
      <c r="N33" s="2" t="s">
        <v>39</v>
      </c>
      <c r="O33" s="2">
        <v>60463.199999999997</v>
      </c>
      <c r="P33" s="2">
        <v>53915.040000000001</v>
      </c>
      <c r="Q33" s="2" t="s">
        <v>39</v>
      </c>
      <c r="R33" s="2">
        <v>295664.3</v>
      </c>
      <c r="S33" s="2" t="s">
        <v>39</v>
      </c>
      <c r="T33" s="2">
        <v>349579.34</v>
      </c>
    </row>
    <row r="34" spans="1:20" ht="15" customHeight="1" x14ac:dyDescent="0.3">
      <c r="A34" s="1" t="s">
        <v>33</v>
      </c>
      <c r="B34" s="1"/>
      <c r="C34" s="1"/>
      <c r="D34" s="2">
        <v>16929.73</v>
      </c>
      <c r="E34" s="2">
        <v>6833.73</v>
      </c>
      <c r="F34" s="2" t="s">
        <v>39</v>
      </c>
      <c r="G34" s="2" t="s">
        <v>39</v>
      </c>
      <c r="H34" s="2">
        <v>0</v>
      </c>
      <c r="I34" s="2">
        <v>0</v>
      </c>
      <c r="J34" s="2">
        <v>31.55</v>
      </c>
      <c r="K34" s="2">
        <v>63100</v>
      </c>
      <c r="L34" s="2" t="s">
        <v>39</v>
      </c>
      <c r="M34" s="2" t="s">
        <v>39</v>
      </c>
      <c r="N34" s="2" t="s">
        <v>39</v>
      </c>
      <c r="O34" s="2">
        <v>63100</v>
      </c>
      <c r="P34" s="2">
        <v>56266.27</v>
      </c>
      <c r="Q34" s="2">
        <v>21070.46</v>
      </c>
      <c r="R34" s="2" t="s">
        <v>39</v>
      </c>
      <c r="S34" s="2" t="s">
        <v>39</v>
      </c>
      <c r="T34" s="2">
        <v>77336.73</v>
      </c>
    </row>
    <row r="35" spans="1:20" ht="15" customHeight="1" x14ac:dyDescent="0.3">
      <c r="A35" s="1" t="s">
        <v>34</v>
      </c>
      <c r="B35" s="1"/>
      <c r="C35" s="1"/>
      <c r="D35" s="2">
        <v>800169.72</v>
      </c>
      <c r="E35" s="2">
        <v>322990.59999999998</v>
      </c>
      <c r="F35" s="2">
        <v>3</v>
      </c>
      <c r="G35" s="2">
        <v>6600</v>
      </c>
      <c r="H35" s="2">
        <v>8.5</v>
      </c>
      <c r="I35" s="2">
        <v>30150</v>
      </c>
      <c r="J35" s="2">
        <v>1241.3</v>
      </c>
      <c r="K35" s="2">
        <v>2893119.4</v>
      </c>
      <c r="L35" s="2">
        <v>56</v>
      </c>
      <c r="M35" s="2">
        <v>0</v>
      </c>
      <c r="N35" s="2">
        <v>50000</v>
      </c>
      <c r="O35" s="2">
        <v>2982369.4</v>
      </c>
      <c r="P35" s="2">
        <v>2609378.7999999998</v>
      </c>
      <c r="Q35" s="2">
        <v>783724.95</v>
      </c>
      <c r="R35" s="2">
        <v>4245274.45</v>
      </c>
      <c r="S35" s="2">
        <v>52500</v>
      </c>
      <c r="T35" s="2">
        <v>7638378.2000000002</v>
      </c>
    </row>
  </sheetData>
  <mergeCells count="39">
    <mergeCell ref="F1:G1"/>
    <mergeCell ref="H1:I1"/>
    <mergeCell ref="J1:K1"/>
    <mergeCell ref="A1:C1"/>
    <mergeCell ref="L1:M1"/>
    <mergeCell ref="A32:C32"/>
    <mergeCell ref="A33:C33"/>
    <mergeCell ref="A34:C34"/>
    <mergeCell ref="A35:C35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FCF8-8A1C-49A1-8CFA-0006AFA94C04}">
  <dimension ref="A1:O18"/>
  <sheetViews>
    <sheetView workbookViewId="0">
      <selection activeCell="C17" sqref="C17"/>
    </sheetView>
  </sheetViews>
  <sheetFormatPr baseColWidth="10" defaultRowHeight="14.4" x14ac:dyDescent="0.3"/>
  <cols>
    <col min="1" max="1" width="50.109375" customWidth="1"/>
    <col min="2" max="2" width="15.5546875" bestFit="1" customWidth="1"/>
    <col min="3" max="3" width="14.33203125" customWidth="1"/>
    <col min="4" max="4" width="6.77734375" bestFit="1" customWidth="1"/>
    <col min="5" max="7" width="14.33203125" customWidth="1"/>
    <col min="8" max="8" width="6.77734375" bestFit="1" customWidth="1"/>
    <col min="9" max="15" width="14.33203125" customWidth="1"/>
  </cols>
  <sheetData>
    <row r="1" spans="1:15" ht="22.2" customHeight="1" x14ac:dyDescent="0.3">
      <c r="A1" s="3" t="s">
        <v>50</v>
      </c>
      <c r="B1" s="4"/>
      <c r="C1" s="4"/>
      <c r="D1" s="5" t="s">
        <v>40</v>
      </c>
      <c r="E1" s="5"/>
      <c r="F1" s="5" t="s">
        <v>41</v>
      </c>
      <c r="G1" s="5"/>
      <c r="H1" s="5" t="s">
        <v>51</v>
      </c>
      <c r="I1" s="5"/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42</v>
      </c>
    </row>
    <row r="2" spans="1:15" ht="27.6" x14ac:dyDescent="0.3">
      <c r="A2" s="6" t="s">
        <v>1</v>
      </c>
      <c r="B2" s="7" t="s">
        <v>36</v>
      </c>
      <c r="C2" s="4" t="s">
        <v>37</v>
      </c>
      <c r="D2" s="7" t="s">
        <v>0</v>
      </c>
      <c r="E2" s="7" t="s">
        <v>35</v>
      </c>
      <c r="F2" s="7" t="s">
        <v>0</v>
      </c>
      <c r="G2" s="7" t="s">
        <v>35</v>
      </c>
      <c r="H2" s="7" t="s">
        <v>0</v>
      </c>
      <c r="I2" s="7" t="s">
        <v>35</v>
      </c>
      <c r="J2" s="7" t="s">
        <v>35</v>
      </c>
      <c r="K2" s="7" t="s">
        <v>35</v>
      </c>
      <c r="L2" s="7" t="s">
        <v>35</v>
      </c>
      <c r="M2" s="7" t="s">
        <v>35</v>
      </c>
      <c r="N2" s="7" t="s">
        <v>35</v>
      </c>
      <c r="O2" s="7" t="s">
        <v>35</v>
      </c>
    </row>
    <row r="3" spans="1:15" x14ac:dyDescent="0.3">
      <c r="A3" s="8" t="s">
        <v>52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 t="s">
        <v>39</v>
      </c>
      <c r="I3" s="9" t="s">
        <v>39</v>
      </c>
      <c r="J3" s="9" t="s">
        <v>39</v>
      </c>
      <c r="K3" s="9">
        <v>0</v>
      </c>
      <c r="L3" s="9">
        <v>0</v>
      </c>
      <c r="M3" s="9">
        <v>30147.35</v>
      </c>
      <c r="N3" s="9" t="s">
        <v>39</v>
      </c>
      <c r="O3" s="9">
        <v>30147.35</v>
      </c>
    </row>
    <row r="4" spans="1:15" x14ac:dyDescent="0.3">
      <c r="A4" s="8" t="s">
        <v>53</v>
      </c>
      <c r="B4" s="9">
        <v>18786.439999999999</v>
      </c>
      <c r="C4" s="9">
        <v>7583.2</v>
      </c>
      <c r="D4" s="9">
        <v>0</v>
      </c>
      <c r="E4" s="9">
        <v>0</v>
      </c>
      <c r="F4" s="9">
        <v>41.14</v>
      </c>
      <c r="G4" s="9">
        <v>70020.28</v>
      </c>
      <c r="H4" s="9" t="s">
        <v>39</v>
      </c>
      <c r="I4" s="9" t="s">
        <v>39</v>
      </c>
      <c r="J4" s="9" t="s">
        <v>39</v>
      </c>
      <c r="K4" s="9">
        <v>70020.28</v>
      </c>
      <c r="L4" s="9">
        <v>62437.08</v>
      </c>
      <c r="M4" s="9" t="s">
        <v>39</v>
      </c>
      <c r="N4" s="9">
        <v>142263.92000000001</v>
      </c>
      <c r="O4" s="9">
        <v>204701</v>
      </c>
    </row>
    <row r="5" spans="1:15" x14ac:dyDescent="0.3">
      <c r="A5" s="8" t="s">
        <v>54</v>
      </c>
      <c r="B5" s="9">
        <v>21705.47</v>
      </c>
      <c r="C5" s="9">
        <v>8761.4699999999993</v>
      </c>
      <c r="D5" s="9">
        <v>0</v>
      </c>
      <c r="E5" s="9">
        <v>0</v>
      </c>
      <c r="F5" s="9">
        <v>40.450000000000003</v>
      </c>
      <c r="G5" s="9">
        <v>80900</v>
      </c>
      <c r="H5" s="9" t="s">
        <v>39</v>
      </c>
      <c r="I5" s="9" t="s">
        <v>39</v>
      </c>
      <c r="J5" s="9" t="s">
        <v>39</v>
      </c>
      <c r="K5" s="9">
        <v>80900</v>
      </c>
      <c r="L5" s="9">
        <v>72138.53</v>
      </c>
      <c r="M5" s="9" t="s">
        <v>39</v>
      </c>
      <c r="N5" s="9">
        <v>165598.71</v>
      </c>
      <c r="O5" s="9">
        <v>237737.24</v>
      </c>
    </row>
    <row r="6" spans="1:15" x14ac:dyDescent="0.3">
      <c r="A6" s="8" t="s">
        <v>55</v>
      </c>
      <c r="B6" s="9">
        <v>33751.599999999999</v>
      </c>
      <c r="C6" s="9">
        <v>13623.92</v>
      </c>
      <c r="D6" s="9">
        <v>0</v>
      </c>
      <c r="E6" s="9">
        <v>0</v>
      </c>
      <c r="F6" s="9">
        <v>40.58</v>
      </c>
      <c r="G6" s="9">
        <v>125798</v>
      </c>
      <c r="H6" s="9" t="s">
        <v>39</v>
      </c>
      <c r="I6" s="9" t="s">
        <v>39</v>
      </c>
      <c r="J6" s="9">
        <v>30000</v>
      </c>
      <c r="K6" s="9">
        <v>125798</v>
      </c>
      <c r="L6" s="9">
        <v>82174.080000000002</v>
      </c>
      <c r="M6" s="9">
        <v>31456.77</v>
      </c>
      <c r="N6" s="9" t="s">
        <v>39</v>
      </c>
      <c r="O6" s="9">
        <v>113630.85</v>
      </c>
    </row>
    <row r="7" spans="1:15" x14ac:dyDescent="0.3">
      <c r="A7" s="8" t="s">
        <v>56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 t="s">
        <v>39</v>
      </c>
      <c r="I7" s="9" t="s">
        <v>39</v>
      </c>
      <c r="J7" s="9" t="s">
        <v>39</v>
      </c>
      <c r="K7" s="9">
        <v>0</v>
      </c>
      <c r="L7" s="9">
        <v>0</v>
      </c>
      <c r="M7" s="9" t="s">
        <v>39</v>
      </c>
      <c r="N7" s="9">
        <v>171745.61</v>
      </c>
      <c r="O7" s="9">
        <v>171745.61</v>
      </c>
    </row>
    <row r="8" spans="1:15" x14ac:dyDescent="0.3">
      <c r="A8" s="8" t="s">
        <v>57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 t="s">
        <v>39</v>
      </c>
      <c r="I8" s="9" t="s">
        <v>39</v>
      </c>
      <c r="J8" s="9" t="s">
        <v>39</v>
      </c>
      <c r="K8" s="9">
        <v>0</v>
      </c>
      <c r="L8" s="9">
        <v>0</v>
      </c>
      <c r="M8" s="9" t="s">
        <v>39</v>
      </c>
      <c r="N8" s="9">
        <v>174779.72</v>
      </c>
      <c r="O8" s="9">
        <v>174779.72</v>
      </c>
    </row>
    <row r="9" spans="1:15" x14ac:dyDescent="0.3">
      <c r="A9" s="8" t="s">
        <v>58</v>
      </c>
      <c r="B9" s="9">
        <v>20750.32</v>
      </c>
      <c r="C9" s="9">
        <v>8375.92</v>
      </c>
      <c r="D9" s="9">
        <v>0</v>
      </c>
      <c r="E9" s="9">
        <v>0</v>
      </c>
      <c r="F9" s="9">
        <v>38.67</v>
      </c>
      <c r="G9" s="9">
        <v>77340</v>
      </c>
      <c r="H9" s="9" t="s">
        <v>39</v>
      </c>
      <c r="I9" s="9" t="s">
        <v>39</v>
      </c>
      <c r="J9" s="9" t="s">
        <v>39</v>
      </c>
      <c r="K9" s="9">
        <v>77340</v>
      </c>
      <c r="L9" s="9">
        <v>68964.08</v>
      </c>
      <c r="M9" s="9">
        <v>35855.550000000003</v>
      </c>
      <c r="N9" s="9" t="s">
        <v>39</v>
      </c>
      <c r="O9" s="9">
        <v>104819.63</v>
      </c>
    </row>
    <row r="10" spans="1:15" x14ac:dyDescent="0.3">
      <c r="A10" s="8" t="s">
        <v>59</v>
      </c>
      <c r="B10" s="9">
        <v>29620.32</v>
      </c>
      <c r="C10" s="9">
        <v>11956.32</v>
      </c>
      <c r="D10" s="9">
        <v>0</v>
      </c>
      <c r="E10" s="9">
        <v>0</v>
      </c>
      <c r="F10" s="9">
        <v>48</v>
      </c>
      <c r="G10" s="9">
        <v>110400</v>
      </c>
      <c r="H10" s="9" t="s">
        <v>39</v>
      </c>
      <c r="I10" s="9" t="s">
        <v>39</v>
      </c>
      <c r="J10" s="9" t="s">
        <v>39</v>
      </c>
      <c r="K10" s="9">
        <v>110400</v>
      </c>
      <c r="L10" s="9">
        <v>98443.68</v>
      </c>
      <c r="M10" s="9">
        <v>32744.98</v>
      </c>
      <c r="N10" s="9" t="s">
        <v>39</v>
      </c>
      <c r="O10" s="9">
        <v>131188.66</v>
      </c>
    </row>
    <row r="11" spans="1:15" x14ac:dyDescent="0.3">
      <c r="A11" s="8" t="s">
        <v>60</v>
      </c>
      <c r="B11" s="9">
        <v>20317.02</v>
      </c>
      <c r="C11" s="9">
        <v>8201.02</v>
      </c>
      <c r="D11" s="9">
        <v>0</v>
      </c>
      <c r="E11" s="9">
        <v>0</v>
      </c>
      <c r="F11" s="9">
        <v>30.29</v>
      </c>
      <c r="G11" s="9">
        <v>75725</v>
      </c>
      <c r="H11" s="9" t="s">
        <v>39</v>
      </c>
      <c r="I11" s="9" t="s">
        <v>39</v>
      </c>
      <c r="J11" s="9" t="s">
        <v>39</v>
      </c>
      <c r="K11" s="9">
        <v>75725</v>
      </c>
      <c r="L11" s="9">
        <v>67523.98</v>
      </c>
      <c r="M11" s="9">
        <v>24650.95</v>
      </c>
      <c r="N11" s="9" t="s">
        <v>39</v>
      </c>
      <c r="O11" s="9">
        <v>92174.93</v>
      </c>
    </row>
    <row r="12" spans="1:15" x14ac:dyDescent="0.3">
      <c r="A12" s="8" t="s">
        <v>61</v>
      </c>
      <c r="B12" s="9">
        <v>36059.519999999997</v>
      </c>
      <c r="C12" s="9">
        <v>14555.52</v>
      </c>
      <c r="D12" s="9">
        <v>0</v>
      </c>
      <c r="E12" s="9">
        <v>0</v>
      </c>
      <c r="F12" s="9">
        <v>48</v>
      </c>
      <c r="G12" s="9">
        <v>134400</v>
      </c>
      <c r="H12" s="9" t="s">
        <v>39</v>
      </c>
      <c r="I12" s="9" t="s">
        <v>39</v>
      </c>
      <c r="J12" s="9" t="s">
        <v>39</v>
      </c>
      <c r="K12" s="9">
        <v>134400</v>
      </c>
      <c r="L12" s="9">
        <v>119844.48</v>
      </c>
      <c r="M12" s="9">
        <v>33872.35</v>
      </c>
      <c r="N12" s="9" t="s">
        <v>39</v>
      </c>
      <c r="O12" s="9">
        <v>153716.82999999999</v>
      </c>
    </row>
    <row r="13" spans="1:15" x14ac:dyDescent="0.3">
      <c r="A13" s="8" t="s">
        <v>62</v>
      </c>
      <c r="B13" s="9">
        <v>31996.38</v>
      </c>
      <c r="C13" s="9">
        <v>12915.42</v>
      </c>
      <c r="D13" s="9">
        <v>3</v>
      </c>
      <c r="E13" s="9">
        <v>9000</v>
      </c>
      <c r="F13" s="9">
        <v>48</v>
      </c>
      <c r="G13" s="9">
        <v>96000</v>
      </c>
      <c r="H13" s="9">
        <f>I13/2700</f>
        <v>5.28</v>
      </c>
      <c r="I13" s="9">
        <v>14256</v>
      </c>
      <c r="J13" s="9" t="s">
        <v>39</v>
      </c>
      <c r="K13" s="9">
        <v>119256</v>
      </c>
      <c r="L13" s="9">
        <v>106340.58</v>
      </c>
      <c r="M13" s="9">
        <v>38936.370000000003</v>
      </c>
      <c r="N13" s="9" t="s">
        <v>39</v>
      </c>
      <c r="O13" s="9">
        <v>145276.95000000001</v>
      </c>
    </row>
    <row r="14" spans="1:15" x14ac:dyDescent="0.3">
      <c r="A14" s="8" t="s">
        <v>63</v>
      </c>
      <c r="B14" s="9">
        <v>14503.1</v>
      </c>
      <c r="C14" s="9">
        <v>5854.21</v>
      </c>
      <c r="D14" s="9">
        <v>0</v>
      </c>
      <c r="E14" s="9">
        <v>0</v>
      </c>
      <c r="F14" s="9">
        <v>31.76</v>
      </c>
      <c r="G14" s="9">
        <v>54055.519999999997</v>
      </c>
      <c r="H14" s="9" t="s">
        <v>39</v>
      </c>
      <c r="I14" s="9" t="s">
        <v>39</v>
      </c>
      <c r="J14" s="9" t="s">
        <v>39</v>
      </c>
      <c r="K14" s="9">
        <v>54055.519999999997</v>
      </c>
      <c r="L14" s="9">
        <v>48201.31</v>
      </c>
      <c r="M14" s="9" t="s">
        <v>39</v>
      </c>
      <c r="N14" s="9">
        <v>87353.58</v>
      </c>
      <c r="O14" s="9">
        <v>135554.89000000001</v>
      </c>
    </row>
    <row r="15" spans="1:15" x14ac:dyDescent="0.3">
      <c r="A15" s="8" t="s">
        <v>64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 t="s">
        <v>39</v>
      </c>
      <c r="I15" s="9" t="s">
        <v>39</v>
      </c>
      <c r="J15" s="9" t="s">
        <v>39</v>
      </c>
      <c r="K15" s="9">
        <v>0</v>
      </c>
      <c r="L15" s="9">
        <v>0</v>
      </c>
      <c r="M15" s="9">
        <v>19720.169999999998</v>
      </c>
      <c r="N15" s="9" t="s">
        <v>39</v>
      </c>
      <c r="O15" s="9">
        <v>19720.169999999998</v>
      </c>
    </row>
    <row r="16" spans="1:15" x14ac:dyDescent="0.3">
      <c r="A16" s="8" t="s">
        <v>65</v>
      </c>
      <c r="B16" s="9">
        <v>18010.14</v>
      </c>
      <c r="C16" s="9">
        <v>7269.84</v>
      </c>
      <c r="D16" s="9">
        <v>0</v>
      </c>
      <c r="E16" s="9">
        <v>0</v>
      </c>
      <c r="F16" s="9">
        <v>39.44</v>
      </c>
      <c r="G16" s="9">
        <v>67126.880000000005</v>
      </c>
      <c r="H16" s="9" t="s">
        <v>39</v>
      </c>
      <c r="I16" s="9" t="s">
        <v>39</v>
      </c>
      <c r="J16" s="9" t="s">
        <v>39</v>
      </c>
      <c r="K16" s="9">
        <v>67126.880000000005</v>
      </c>
      <c r="L16" s="9">
        <v>59857.04</v>
      </c>
      <c r="M16" s="9" t="s">
        <v>39</v>
      </c>
      <c r="N16" s="9">
        <v>173417.89</v>
      </c>
      <c r="O16" s="9">
        <v>233274.93</v>
      </c>
    </row>
    <row r="17" spans="1:15" x14ac:dyDescent="0.3">
      <c r="A17" s="8" t="s">
        <v>66</v>
      </c>
      <c r="B17" s="9">
        <v>20943.5</v>
      </c>
      <c r="C17" s="9">
        <v>8453.9</v>
      </c>
      <c r="D17" s="9">
        <v>0</v>
      </c>
      <c r="E17" s="9">
        <v>0</v>
      </c>
      <c r="F17" s="9">
        <v>39.03</v>
      </c>
      <c r="G17" s="9">
        <v>78060</v>
      </c>
      <c r="H17" s="9" t="s">
        <v>39</v>
      </c>
      <c r="I17" s="9" t="s">
        <v>39</v>
      </c>
      <c r="J17" s="9" t="s">
        <v>39</v>
      </c>
      <c r="K17" s="9">
        <v>78060</v>
      </c>
      <c r="L17" s="9">
        <v>69606.100000000006</v>
      </c>
      <c r="M17" s="9" t="s">
        <v>39</v>
      </c>
      <c r="N17" s="9">
        <v>132915.92000000001</v>
      </c>
      <c r="O17" s="9">
        <v>202522.02</v>
      </c>
    </row>
    <row r="18" spans="1:15" s="12" customFormat="1" x14ac:dyDescent="0.3">
      <c r="A18" s="10" t="s">
        <v>34</v>
      </c>
      <c r="B18" s="11">
        <v>266443.81</v>
      </c>
      <c r="C18" s="11">
        <v>107550.74</v>
      </c>
      <c r="D18" s="11">
        <v>3</v>
      </c>
      <c r="E18" s="11">
        <v>9000</v>
      </c>
      <c r="F18" s="11">
        <v>445.36</v>
      </c>
      <c r="G18" s="11">
        <v>969825.68</v>
      </c>
      <c r="H18" s="11">
        <v>5.28</v>
      </c>
      <c r="I18" s="11">
        <v>14256</v>
      </c>
      <c r="J18" s="11">
        <v>30000</v>
      </c>
      <c r="K18" s="11">
        <v>993081.68</v>
      </c>
      <c r="L18" s="11">
        <v>855530.94</v>
      </c>
      <c r="M18" s="11">
        <v>247384.49</v>
      </c>
      <c r="N18" s="11">
        <v>1048075.35</v>
      </c>
      <c r="O18" s="11">
        <v>2150990.7799999998</v>
      </c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8F12-A94C-459E-8F01-705DB68F35A8}">
  <dimension ref="A1:N13"/>
  <sheetViews>
    <sheetView workbookViewId="0">
      <selection activeCell="D4" sqref="D4"/>
    </sheetView>
  </sheetViews>
  <sheetFormatPr baseColWidth="10" defaultRowHeight="14.4" x14ac:dyDescent="0.3"/>
  <cols>
    <col min="1" max="1" width="7.6640625" customWidth="1"/>
    <col min="2" max="2" width="5.88671875" customWidth="1"/>
    <col min="3" max="3" width="32.109375" customWidth="1"/>
    <col min="4" max="4" width="15.5546875" bestFit="1" customWidth="1"/>
    <col min="5" max="14" width="14.33203125" customWidth="1"/>
  </cols>
  <sheetData>
    <row r="1" spans="1:14" s="12" customFormat="1" ht="41.4" x14ac:dyDescent="0.3">
      <c r="A1" s="16" t="s">
        <v>68</v>
      </c>
      <c r="B1" s="17"/>
      <c r="C1" s="18"/>
      <c r="D1" s="13"/>
      <c r="E1" s="13"/>
      <c r="F1" s="5" t="s">
        <v>40</v>
      </c>
      <c r="G1" s="5"/>
      <c r="H1" s="5" t="s">
        <v>41</v>
      </c>
      <c r="I1" s="5"/>
      <c r="J1" s="13" t="s">
        <v>45</v>
      </c>
      <c r="K1" s="13" t="s">
        <v>46</v>
      </c>
      <c r="L1" s="13" t="s">
        <v>47</v>
      </c>
      <c r="M1" s="13" t="s">
        <v>48</v>
      </c>
      <c r="N1" s="13" t="s">
        <v>42</v>
      </c>
    </row>
    <row r="2" spans="1:14" s="12" customFormat="1" ht="27.6" x14ac:dyDescent="0.3">
      <c r="A2" s="14" t="s">
        <v>1</v>
      </c>
      <c r="B2" s="14"/>
      <c r="C2" s="14"/>
      <c r="D2" s="15" t="s">
        <v>36</v>
      </c>
      <c r="E2" s="13" t="s">
        <v>37</v>
      </c>
      <c r="F2" s="15" t="s">
        <v>0</v>
      </c>
      <c r="G2" s="15" t="s">
        <v>35</v>
      </c>
      <c r="H2" s="15" t="s">
        <v>0</v>
      </c>
      <c r="I2" s="15" t="s">
        <v>35</v>
      </c>
      <c r="J2" s="15" t="s">
        <v>35</v>
      </c>
      <c r="K2" s="15" t="s">
        <v>35</v>
      </c>
      <c r="L2" s="15" t="s">
        <v>35</v>
      </c>
      <c r="M2" s="15" t="s">
        <v>35</v>
      </c>
      <c r="N2" s="15" t="s">
        <v>35</v>
      </c>
    </row>
    <row r="3" spans="1:14" x14ac:dyDescent="0.3">
      <c r="A3" s="1" t="s">
        <v>69</v>
      </c>
      <c r="B3" s="1"/>
      <c r="C3" s="1"/>
      <c r="D3" s="2">
        <v>24039.68</v>
      </c>
      <c r="E3" s="2">
        <v>9703.68</v>
      </c>
      <c r="F3" s="2">
        <v>0</v>
      </c>
      <c r="G3" s="2">
        <v>0</v>
      </c>
      <c r="H3" s="2">
        <v>32</v>
      </c>
      <c r="I3" s="2">
        <v>89600</v>
      </c>
      <c r="J3" s="2">
        <v>89600</v>
      </c>
      <c r="K3" s="2">
        <v>79896.320000000007</v>
      </c>
      <c r="L3" s="2">
        <v>8549.32</v>
      </c>
      <c r="M3" s="2" t="s">
        <v>39</v>
      </c>
      <c r="N3" s="2">
        <v>88445.64</v>
      </c>
    </row>
    <row r="4" spans="1:14" x14ac:dyDescent="0.3">
      <c r="A4" s="1" t="s">
        <v>70</v>
      </c>
      <c r="B4" s="1"/>
      <c r="C4" s="1"/>
      <c r="D4" s="2">
        <v>30908.16</v>
      </c>
      <c r="E4" s="2">
        <v>12476.16</v>
      </c>
      <c r="F4" s="2">
        <v>0</v>
      </c>
      <c r="G4" s="2">
        <v>0</v>
      </c>
      <c r="H4" s="2">
        <v>48</v>
      </c>
      <c r="I4" s="2">
        <v>115200</v>
      </c>
      <c r="J4" s="2">
        <v>115200</v>
      </c>
      <c r="K4" s="2">
        <v>102723.84</v>
      </c>
      <c r="L4" s="2" t="s">
        <v>39</v>
      </c>
      <c r="M4" s="2">
        <v>53324.800000000003</v>
      </c>
      <c r="N4" s="2">
        <v>156048.64000000001</v>
      </c>
    </row>
    <row r="5" spans="1:14" x14ac:dyDescent="0.3">
      <c r="A5" s="1" t="s">
        <v>71</v>
      </c>
      <c r="B5" s="1"/>
      <c r="C5" s="1"/>
      <c r="D5" s="2">
        <v>29378.85</v>
      </c>
      <c r="E5" s="2">
        <v>11858.85</v>
      </c>
      <c r="F5" s="2">
        <v>4.5</v>
      </c>
      <c r="G5" s="2">
        <v>13500</v>
      </c>
      <c r="H5" s="2">
        <v>48</v>
      </c>
      <c r="I5" s="2">
        <v>96000</v>
      </c>
      <c r="J5" s="2">
        <v>109500</v>
      </c>
      <c r="K5" s="2">
        <v>97641.15</v>
      </c>
      <c r="L5" s="2">
        <v>47762</v>
      </c>
      <c r="M5" s="2" t="s">
        <v>39</v>
      </c>
      <c r="N5" s="2">
        <v>145403.15</v>
      </c>
    </row>
    <row r="6" spans="1:14" x14ac:dyDescent="0.3">
      <c r="A6" s="1" t="s">
        <v>72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 t="s">
        <v>39</v>
      </c>
      <c r="N6" s="2">
        <v>0</v>
      </c>
    </row>
    <row r="7" spans="1:14" x14ac:dyDescent="0.3">
      <c r="A7" s="1" t="s">
        <v>73</v>
      </c>
      <c r="B7" s="1"/>
      <c r="C7" s="1"/>
      <c r="D7" s="2">
        <v>37025.4</v>
      </c>
      <c r="E7" s="2">
        <v>14945.4</v>
      </c>
      <c r="F7" s="2">
        <v>0</v>
      </c>
      <c r="G7" s="2">
        <v>0</v>
      </c>
      <c r="H7" s="2">
        <v>46</v>
      </c>
      <c r="I7" s="2">
        <v>138000</v>
      </c>
      <c r="J7" s="2">
        <v>138000</v>
      </c>
      <c r="K7" s="2">
        <v>123054.6</v>
      </c>
      <c r="L7" s="2" t="s">
        <v>39</v>
      </c>
      <c r="M7" s="2" t="s">
        <v>39</v>
      </c>
      <c r="N7" s="2">
        <v>123054.6</v>
      </c>
    </row>
    <row r="8" spans="1:14" x14ac:dyDescent="0.3">
      <c r="A8" s="1" t="s">
        <v>74</v>
      </c>
      <c r="B8" s="1"/>
      <c r="C8" s="1"/>
      <c r="D8" s="2">
        <v>34711.31</v>
      </c>
      <c r="E8" s="2">
        <v>14011.31</v>
      </c>
      <c r="F8" s="2">
        <v>2.5</v>
      </c>
      <c r="G8" s="2">
        <v>9375</v>
      </c>
      <c r="H8" s="2">
        <v>48</v>
      </c>
      <c r="I8" s="2">
        <v>120000</v>
      </c>
      <c r="J8" s="2">
        <v>129375</v>
      </c>
      <c r="K8" s="2">
        <v>115363.69</v>
      </c>
      <c r="L8" s="2">
        <v>13304.86</v>
      </c>
      <c r="M8" s="2" t="s">
        <v>39</v>
      </c>
      <c r="N8" s="2">
        <v>128668.55</v>
      </c>
    </row>
    <row r="9" spans="1:14" x14ac:dyDescent="0.3">
      <c r="A9" s="1" t="s">
        <v>75</v>
      </c>
      <c r="B9" s="1"/>
      <c r="C9" s="1"/>
      <c r="D9" s="2">
        <v>29620.32</v>
      </c>
      <c r="E9" s="2">
        <v>11956.32</v>
      </c>
      <c r="F9" s="2">
        <v>0</v>
      </c>
      <c r="G9" s="2">
        <v>0</v>
      </c>
      <c r="H9" s="2">
        <v>48</v>
      </c>
      <c r="I9" s="2">
        <v>110400</v>
      </c>
      <c r="J9" s="2">
        <v>110400</v>
      </c>
      <c r="K9" s="2">
        <v>98443.68</v>
      </c>
      <c r="L9" s="2" t="s">
        <v>39</v>
      </c>
      <c r="M9" s="2">
        <v>42001.599999999999</v>
      </c>
      <c r="N9" s="2">
        <v>140445.28</v>
      </c>
    </row>
    <row r="10" spans="1:14" x14ac:dyDescent="0.3">
      <c r="A10" s="1" t="s">
        <v>76</v>
      </c>
      <c r="B10" s="1"/>
      <c r="C10" s="1"/>
      <c r="D10" s="2">
        <v>27333.06</v>
      </c>
      <c r="E10" s="2">
        <v>11033.06</v>
      </c>
      <c r="F10" s="2">
        <v>0</v>
      </c>
      <c r="G10" s="2">
        <v>0</v>
      </c>
      <c r="H10" s="2">
        <v>40.75</v>
      </c>
      <c r="I10" s="2">
        <v>101875</v>
      </c>
      <c r="J10" s="2">
        <v>101875</v>
      </c>
      <c r="K10" s="2">
        <v>90841.94</v>
      </c>
      <c r="L10" s="2">
        <v>12055.42</v>
      </c>
      <c r="M10" s="2" t="s">
        <v>39</v>
      </c>
      <c r="N10" s="2">
        <v>102897.36</v>
      </c>
    </row>
    <row r="11" spans="1:14" x14ac:dyDescent="0.3">
      <c r="A11" s="1" t="s">
        <v>77</v>
      </c>
      <c r="B11" s="1"/>
      <c r="C11" s="1"/>
      <c r="D11" s="2">
        <v>27769.05</v>
      </c>
      <c r="E11" s="2">
        <v>11209.05</v>
      </c>
      <c r="F11" s="2">
        <v>2.5</v>
      </c>
      <c r="G11" s="2">
        <v>7500</v>
      </c>
      <c r="H11" s="2">
        <v>48</v>
      </c>
      <c r="I11" s="2">
        <v>96000</v>
      </c>
      <c r="J11" s="2">
        <v>103500</v>
      </c>
      <c r="K11" s="2">
        <v>92290.95</v>
      </c>
      <c r="L11" s="2" t="s">
        <v>39</v>
      </c>
      <c r="M11" s="2">
        <v>50443.32</v>
      </c>
      <c r="N11" s="2">
        <v>142734.26999999999</v>
      </c>
    </row>
    <row r="12" spans="1:14" x14ac:dyDescent="0.3">
      <c r="A12" s="1" t="s">
        <v>78</v>
      </c>
      <c r="B12" s="1"/>
      <c r="C12" s="1"/>
      <c r="D12" s="2">
        <v>25756.799999999999</v>
      </c>
      <c r="E12" s="2">
        <v>10396.799999999999</v>
      </c>
      <c r="F12" s="2">
        <v>0</v>
      </c>
      <c r="G12" s="2">
        <v>0</v>
      </c>
      <c r="H12" s="2">
        <v>48</v>
      </c>
      <c r="I12" s="2">
        <v>96000</v>
      </c>
      <c r="J12" s="2">
        <v>96000</v>
      </c>
      <c r="K12" s="2">
        <v>85603.199999999997</v>
      </c>
      <c r="L12" s="2">
        <v>13304.86</v>
      </c>
      <c r="M12" s="2" t="s">
        <v>39</v>
      </c>
      <c r="N12" s="2">
        <v>98908.06</v>
      </c>
    </row>
    <row r="13" spans="1:14" s="12" customFormat="1" x14ac:dyDescent="0.3">
      <c r="A13" s="5" t="s">
        <v>34</v>
      </c>
      <c r="B13" s="5"/>
      <c r="C13" s="5"/>
      <c r="D13" s="19">
        <v>266542.63</v>
      </c>
      <c r="E13" s="19">
        <v>107590.63</v>
      </c>
      <c r="F13" s="19">
        <v>9.5</v>
      </c>
      <c r="G13" s="19">
        <v>30375</v>
      </c>
      <c r="H13" s="19">
        <v>406.75</v>
      </c>
      <c r="I13" s="19">
        <v>963075</v>
      </c>
      <c r="J13" s="19">
        <v>993450</v>
      </c>
      <c r="K13" s="19">
        <v>885859.37</v>
      </c>
      <c r="L13" s="19">
        <v>94976.46</v>
      </c>
      <c r="M13" s="19">
        <v>145769.72</v>
      </c>
      <c r="N13" s="19">
        <v>1126605.55</v>
      </c>
    </row>
  </sheetData>
  <mergeCells count="15">
    <mergeCell ref="A11:C11"/>
    <mergeCell ref="A12:C12"/>
    <mergeCell ref="A13:C13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4D45-3C56-4C9A-AC50-10CE78DBBBBF}">
  <dimension ref="A1:J5"/>
  <sheetViews>
    <sheetView workbookViewId="0">
      <selection activeCell="E9" sqref="E9"/>
    </sheetView>
  </sheetViews>
  <sheetFormatPr baseColWidth="10" defaultRowHeight="14.4" x14ac:dyDescent="0.3"/>
  <cols>
    <col min="3" max="3" width="27.77734375" customWidth="1"/>
  </cols>
  <sheetData>
    <row r="1" spans="1:10" ht="29.4" customHeight="1" x14ac:dyDescent="0.3">
      <c r="A1" s="16" t="s">
        <v>79</v>
      </c>
      <c r="B1" s="17"/>
      <c r="C1" s="18"/>
      <c r="D1" s="5" t="s">
        <v>41</v>
      </c>
      <c r="E1" s="5"/>
      <c r="F1" s="13" t="s">
        <v>44</v>
      </c>
      <c r="G1" s="13" t="s">
        <v>45</v>
      </c>
      <c r="H1" s="13" t="s">
        <v>46</v>
      </c>
      <c r="I1" s="13" t="s">
        <v>48</v>
      </c>
      <c r="J1" s="13" t="s">
        <v>42</v>
      </c>
    </row>
    <row r="2" spans="1:10" x14ac:dyDescent="0.3">
      <c r="A2" s="14" t="s">
        <v>1</v>
      </c>
      <c r="B2" s="14"/>
      <c r="C2" s="14"/>
      <c r="D2" s="15" t="s">
        <v>0</v>
      </c>
      <c r="E2" s="15" t="s">
        <v>35</v>
      </c>
      <c r="F2" s="15" t="s">
        <v>35</v>
      </c>
      <c r="G2" s="15" t="s">
        <v>35</v>
      </c>
      <c r="H2" s="15" t="s">
        <v>35</v>
      </c>
      <c r="I2" s="15" t="s">
        <v>35</v>
      </c>
      <c r="J2" s="15" t="s">
        <v>35</v>
      </c>
    </row>
    <row r="3" spans="1:10" x14ac:dyDescent="0.3">
      <c r="A3" s="1" t="s">
        <v>80</v>
      </c>
      <c r="B3" s="1"/>
      <c r="C3" s="1"/>
      <c r="D3" s="2">
        <v>38.270000000000003</v>
      </c>
      <c r="E3" s="2">
        <v>103329</v>
      </c>
      <c r="F3" s="2">
        <v>50000</v>
      </c>
      <c r="G3" s="2">
        <v>103329</v>
      </c>
      <c r="H3" s="2">
        <v>53329</v>
      </c>
      <c r="I3" s="2" t="s">
        <v>39</v>
      </c>
      <c r="J3" s="2">
        <v>53329</v>
      </c>
    </row>
    <row r="4" spans="1:10" x14ac:dyDescent="0.3">
      <c r="A4" s="1" t="s">
        <v>81</v>
      </c>
      <c r="B4" s="1"/>
      <c r="C4" s="1"/>
      <c r="D4" s="2">
        <v>37.69</v>
      </c>
      <c r="E4" s="2">
        <v>64148.38</v>
      </c>
      <c r="F4" s="2" t="s">
        <v>39</v>
      </c>
      <c r="G4" s="2">
        <v>64148.38</v>
      </c>
      <c r="H4" s="2">
        <v>64148.38</v>
      </c>
      <c r="I4" s="2">
        <v>179171.20000000001</v>
      </c>
      <c r="J4" s="2">
        <v>243319.58</v>
      </c>
    </row>
    <row r="5" spans="1:10" x14ac:dyDescent="0.3">
      <c r="A5" s="1" t="s">
        <v>34</v>
      </c>
      <c r="B5" s="1"/>
      <c r="C5" s="1"/>
      <c r="D5" s="2">
        <v>75.959999999999994</v>
      </c>
      <c r="E5" s="2">
        <v>167477.38</v>
      </c>
      <c r="F5" s="2">
        <v>50000</v>
      </c>
      <c r="G5" s="2">
        <v>167477.38</v>
      </c>
      <c r="H5" s="2">
        <v>117477.38</v>
      </c>
      <c r="I5" s="2">
        <v>179171.20000000001</v>
      </c>
      <c r="J5" s="2">
        <v>296648.58</v>
      </c>
    </row>
  </sheetData>
  <mergeCells count="6">
    <mergeCell ref="A1:C1"/>
    <mergeCell ref="D1:E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2026-05-02T20:32:27Z</dcterms:modified>
</cp:coreProperties>
</file>