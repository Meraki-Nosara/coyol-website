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\Documents\ZULY\DATOS DE INTERES\"/>
    </mc:Choice>
  </mc:AlternateContent>
  <xr:revisionPtr revIDLastSave="0" documentId="13_ncr:1_{2D8B8A8C-EC18-485F-B33C-F1FC841816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 (por categoria)" sheetId="1" r:id="rId1"/>
    <sheet name="Hoja1" sheetId="2" r:id="rId2"/>
  </sheets>
  <definedNames>
    <definedName name="_xlnm._FilterDatabase" localSheetId="0" hidden="1">'PRODUCTOS (por categoria)'!$C$12:$E$85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1" i="1" l="1"/>
  <c r="G852" i="1"/>
  <c r="G853" i="1"/>
  <c r="G854" i="1"/>
  <c r="G855" i="1"/>
  <c r="G856" i="1"/>
  <c r="G857" i="1"/>
  <c r="G858" i="1"/>
  <c r="G859" i="1"/>
  <c r="G860" i="1"/>
  <c r="G851" i="1"/>
  <c r="E852" i="1"/>
  <c r="E853" i="1"/>
  <c r="E854" i="1"/>
  <c r="E855" i="1"/>
  <c r="E856" i="1"/>
  <c r="E857" i="1"/>
  <c r="E858" i="1"/>
  <c r="E859" i="1"/>
  <c r="E860" i="1"/>
  <c r="E861" i="1"/>
  <c r="G152" i="1"/>
  <c r="E835" i="1"/>
  <c r="E848" i="1"/>
  <c r="G848" i="1"/>
  <c r="E827" i="1"/>
  <c r="G827" i="1"/>
  <c r="E795" i="1"/>
  <c r="G795" i="1"/>
  <c r="E796" i="1"/>
  <c r="E760" i="1"/>
  <c r="G760" i="1"/>
  <c r="E759" i="1"/>
  <c r="G759" i="1"/>
  <c r="E401" i="1"/>
  <c r="G401" i="1" s="1"/>
  <c r="E300" i="1"/>
  <c r="G300" i="1"/>
  <c r="E223" i="1"/>
  <c r="G223" i="1" s="1"/>
  <c r="E740" i="1"/>
  <c r="G740" i="1" s="1"/>
  <c r="E739" i="1"/>
  <c r="G739" i="1" s="1"/>
  <c r="E236" i="1"/>
  <c r="G236" i="1" s="1"/>
  <c r="E826" i="1"/>
  <c r="G826" i="1" s="1"/>
  <c r="E752" i="1"/>
  <c r="G752" i="1" s="1"/>
  <c r="E753" i="1"/>
  <c r="G753" i="1" s="1"/>
  <c r="E751" i="1"/>
  <c r="G751" i="1" s="1"/>
  <c r="E315" i="1"/>
  <c r="G315" i="1" s="1"/>
  <c r="E368" i="1"/>
  <c r="G368" i="1" s="1"/>
  <c r="E365" i="1"/>
  <c r="G365" i="1" s="1"/>
  <c r="E33" i="1"/>
  <c r="G33" i="1" s="1"/>
  <c r="E616" i="1"/>
  <c r="G616" i="1" s="1"/>
  <c r="E594" i="1"/>
  <c r="G594" i="1" s="1"/>
  <c r="E593" i="1"/>
  <c r="G593" i="1" s="1"/>
  <c r="E592" i="1"/>
  <c r="G592" i="1" s="1"/>
  <c r="E615" i="1"/>
  <c r="G615" i="1" s="1"/>
  <c r="E614" i="1"/>
  <c r="G614" i="1" s="1"/>
  <c r="E500" i="1"/>
  <c r="G500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54" i="1"/>
  <c r="G654" i="1" s="1"/>
  <c r="E653" i="1"/>
  <c r="G653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11" i="1"/>
  <c r="G511" i="1" s="1"/>
  <c r="E510" i="1"/>
  <c r="G510" i="1" s="1"/>
  <c r="E509" i="1"/>
  <c r="G509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779" i="1"/>
  <c r="G779" i="1" s="1"/>
  <c r="E775" i="1"/>
  <c r="G775" i="1" s="1"/>
  <c r="E776" i="1"/>
  <c r="G776" i="1" s="1"/>
  <c r="E774" i="1"/>
  <c r="G774" i="1" s="1"/>
  <c r="E773" i="1"/>
  <c r="G773" i="1" s="1"/>
  <c r="E772" i="1"/>
  <c r="G772" i="1" s="1"/>
  <c r="E769" i="1"/>
  <c r="G769" i="1" s="1"/>
  <c r="E766" i="1"/>
  <c r="G766" i="1" s="1"/>
  <c r="E723" i="1"/>
  <c r="G723" i="1" s="1"/>
  <c r="E720" i="1"/>
  <c r="G720" i="1" s="1"/>
  <c r="E719" i="1"/>
  <c r="G719" i="1" s="1"/>
  <c r="E717" i="1"/>
  <c r="G717" i="1" s="1"/>
  <c r="E693" i="1"/>
  <c r="G693" i="1" s="1"/>
  <c r="E684" i="1"/>
  <c r="G684" i="1" s="1"/>
  <c r="E683" i="1"/>
  <c r="G683" i="1" s="1"/>
  <c r="E666" i="1"/>
  <c r="G666" i="1" s="1"/>
  <c r="E665" i="1"/>
  <c r="G665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F623" i="1"/>
  <c r="E505" i="1"/>
  <c r="G505" i="1" s="1"/>
  <c r="E424" i="1"/>
  <c r="G424" i="1" s="1"/>
  <c r="E423" i="1"/>
  <c r="G423" i="1" s="1"/>
  <c r="E388" i="1"/>
  <c r="G388" i="1" s="1"/>
  <c r="E370" i="1"/>
  <c r="G370" i="1" s="1"/>
  <c r="E369" i="1"/>
  <c r="G369" i="1" s="1"/>
  <c r="E301" i="1"/>
  <c r="G301" i="1" s="1"/>
  <c r="E299" i="1"/>
  <c r="G299" i="1" s="1"/>
  <c r="E298" i="1"/>
  <c r="G298" i="1" s="1"/>
  <c r="E297" i="1"/>
  <c r="G297" i="1" s="1"/>
  <c r="E93" i="1"/>
  <c r="G93" i="1" s="1"/>
  <c r="E549" i="1"/>
  <c r="G549" i="1" s="1"/>
  <c r="E548" i="1"/>
  <c r="G548" i="1" s="1"/>
  <c r="E429" i="1"/>
  <c r="G429" i="1" s="1"/>
  <c r="E428" i="1"/>
  <c r="G428" i="1" s="1"/>
  <c r="E427" i="1"/>
  <c r="G427" i="1" s="1"/>
  <c r="E295" i="1"/>
  <c r="G295" i="1" s="1"/>
  <c r="E258" i="1"/>
  <c r="G258" i="1" s="1"/>
  <c r="E296" i="1"/>
  <c r="G296" i="1" s="1"/>
  <c r="E294" i="1"/>
  <c r="G294" i="1" s="1"/>
  <c r="F355" i="1"/>
  <c r="E355" i="1"/>
  <c r="G355" i="1" s="1"/>
  <c r="F696" i="1"/>
  <c r="E696" i="1"/>
  <c r="G696" i="1" s="1"/>
  <c r="E57" i="1"/>
  <c r="G57" i="1" s="1"/>
  <c r="E32" i="1"/>
  <c r="G32" i="1" s="1"/>
  <c r="E344" i="1"/>
  <c r="G344" i="1" s="1"/>
  <c r="G803" i="1"/>
  <c r="E823" i="1"/>
  <c r="G823" i="1" s="1"/>
  <c r="E750" i="1"/>
  <c r="G750" i="1" s="1"/>
  <c r="E749" i="1"/>
  <c r="G749" i="1" s="1"/>
  <c r="E748" i="1"/>
  <c r="G748" i="1" s="1"/>
  <c r="E362" i="1"/>
  <c r="G362" i="1" s="1"/>
  <c r="E20" i="1"/>
  <c r="F20" i="1" s="1"/>
  <c r="E22" i="1"/>
  <c r="F22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371" i="1"/>
  <c r="G371" i="1" s="1"/>
  <c r="E373" i="1"/>
  <c r="G373" i="1" s="1"/>
  <c r="E314" i="1"/>
  <c r="G314" i="1" s="1"/>
  <c r="E313" i="1"/>
  <c r="G313" i="1" s="1"/>
  <c r="E715" i="1"/>
  <c r="G715" i="1" s="1"/>
  <c r="E714" i="1"/>
  <c r="G714" i="1" s="1"/>
  <c r="E713" i="1"/>
  <c r="G713" i="1" s="1"/>
  <c r="E712" i="1"/>
  <c r="G712" i="1" s="1"/>
  <c r="E56" i="1"/>
  <c r="G56" i="1" s="1"/>
  <c r="E49" i="1"/>
  <c r="G49" i="1" s="1"/>
  <c r="E220" i="1"/>
  <c r="G220" i="1" s="1"/>
  <c r="E304" i="1"/>
  <c r="G304" i="1" s="1"/>
  <c r="E284" i="1"/>
  <c r="G284" i="1" s="1"/>
  <c r="F284" i="1"/>
  <c r="E287" i="1"/>
  <c r="G287" i="1" s="1"/>
  <c r="E286" i="1"/>
  <c r="G286" i="1" s="1"/>
  <c r="E285" i="1"/>
  <c r="G285" i="1" s="1"/>
  <c r="E849" i="1"/>
  <c r="E851" i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1" i="1"/>
  <c r="G21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4" i="1"/>
  <c r="G94" i="1" s="1"/>
  <c r="E95" i="1"/>
  <c r="G95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1" i="1"/>
  <c r="G221" i="1" s="1"/>
  <c r="E222" i="1"/>
  <c r="G222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5" i="1"/>
  <c r="G235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303" i="1"/>
  <c r="G303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3" i="1"/>
  <c r="G363" i="1" s="1"/>
  <c r="E364" i="1"/>
  <c r="G364" i="1" s="1"/>
  <c r="E366" i="1"/>
  <c r="G366" i="1" s="1"/>
  <c r="E367" i="1"/>
  <c r="G367" i="1" s="1"/>
  <c r="E372" i="1"/>
  <c r="G372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4" i="1"/>
  <c r="G384" i="1" s="1"/>
  <c r="E385" i="1"/>
  <c r="G385" i="1" s="1"/>
  <c r="E386" i="1"/>
  <c r="G386" i="1" s="1"/>
  <c r="E387" i="1"/>
  <c r="G387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2" i="1"/>
  <c r="G402" i="1" s="1"/>
  <c r="E403" i="1"/>
  <c r="G403" i="1" s="1"/>
  <c r="E404" i="1"/>
  <c r="G404" i="1" s="1"/>
  <c r="E405" i="1"/>
  <c r="G405" i="1" s="1"/>
  <c r="E406" i="1"/>
  <c r="G406" i="1" s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G422" i="1" s="1"/>
  <c r="E425" i="1"/>
  <c r="G425" i="1" s="1"/>
  <c r="E426" i="1"/>
  <c r="G426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2" i="1"/>
  <c r="G502" i="1" s="1"/>
  <c r="E503" i="1"/>
  <c r="G503" i="1" s="1"/>
  <c r="E504" i="1"/>
  <c r="G504" i="1" s="1"/>
  <c r="E506" i="1"/>
  <c r="G506" i="1" s="1"/>
  <c r="E507" i="1"/>
  <c r="G507" i="1" s="1"/>
  <c r="E508" i="1"/>
  <c r="G508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619" i="1"/>
  <c r="G619" i="1" s="1"/>
  <c r="E620" i="1"/>
  <c r="G620" i="1" s="1"/>
  <c r="E621" i="1"/>
  <c r="G621" i="1" s="1"/>
  <c r="E622" i="1"/>
  <c r="G622" i="1" s="1"/>
  <c r="E624" i="1"/>
  <c r="G624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9" i="1"/>
  <c r="G669" i="1" s="1"/>
  <c r="E670" i="1"/>
  <c r="G670" i="1" s="1"/>
  <c r="E672" i="1"/>
  <c r="G672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6" i="1"/>
  <c r="G716" i="1" s="1"/>
  <c r="E718" i="1"/>
  <c r="G718" i="1" s="1"/>
  <c r="E721" i="1"/>
  <c r="G721" i="1" s="1"/>
  <c r="E722" i="1"/>
  <c r="G722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54" i="1"/>
  <c r="G754" i="1" s="1"/>
  <c r="E755" i="1"/>
  <c r="G755" i="1" s="1"/>
  <c r="E756" i="1"/>
  <c r="G756" i="1" s="1"/>
  <c r="E757" i="1"/>
  <c r="G757" i="1" s="1"/>
  <c r="E758" i="1"/>
  <c r="G758" i="1" s="1"/>
  <c r="E763" i="1"/>
  <c r="G763" i="1" s="1"/>
  <c r="E764" i="1"/>
  <c r="G764" i="1" s="1"/>
  <c r="E765" i="1"/>
  <c r="G765" i="1" s="1"/>
  <c r="E767" i="1"/>
  <c r="G767" i="1" s="1"/>
  <c r="E768" i="1"/>
  <c r="G768" i="1" s="1"/>
  <c r="E770" i="1"/>
  <c r="G770" i="1" s="1"/>
  <c r="E771" i="1"/>
  <c r="G771" i="1" s="1"/>
  <c r="E777" i="1"/>
  <c r="G777" i="1" s="1"/>
  <c r="E778" i="1"/>
  <c r="G778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G800" i="1"/>
  <c r="G801" i="1"/>
  <c r="G802" i="1"/>
  <c r="G804" i="1"/>
  <c r="G805" i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4" i="1"/>
  <c r="G824" i="1" s="1"/>
  <c r="E825" i="1"/>
  <c r="G825" i="1" s="1"/>
  <c r="E828" i="1"/>
  <c r="G828" i="1" s="1"/>
  <c r="G835" i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13" i="1"/>
  <c r="G13" i="1" s="1"/>
  <c r="F739" i="1" l="1"/>
  <c r="F57" i="1"/>
  <c r="G20" i="1"/>
  <c r="G22" i="1"/>
  <c r="F56" i="1"/>
  <c r="F352" i="1" l="1"/>
  <c r="F341" i="1"/>
  <c r="F15" i="1" l="1"/>
  <c r="F17" i="1"/>
  <c r="F121" i="1" l="1"/>
  <c r="F325" i="1" l="1"/>
  <c r="F159" i="1" l="1"/>
  <c r="F61" i="1"/>
  <c r="F59" i="1"/>
  <c r="F38" i="1" l="1"/>
  <c r="F18" i="1" l="1"/>
  <c r="F482" i="1" l="1"/>
  <c r="F324" i="1" l="1"/>
  <c r="F682" i="1"/>
  <c r="F198" i="1"/>
  <c r="F41" i="1"/>
  <c r="F158" i="1" l="1"/>
  <c r="F157" i="1"/>
  <c r="F88" i="1"/>
  <c r="F171" i="1" l="1"/>
  <c r="F91" i="1"/>
  <c r="F23" i="1"/>
  <c r="F19" i="1"/>
  <c r="F136" i="1"/>
  <c r="F126" i="1"/>
  <c r="F170" i="1"/>
  <c r="F181" i="1"/>
  <c r="F103" i="1"/>
  <c r="F194" i="1"/>
  <c r="F195" i="1"/>
  <c r="F221" i="1"/>
  <c r="F218" i="1"/>
  <c r="F323" i="1"/>
  <c r="F439" i="1"/>
  <c r="F169" i="1"/>
  <c r="F167" i="1"/>
  <c r="F168" i="1"/>
  <c r="F166" i="1"/>
  <c r="F138" i="1"/>
  <c r="F137" i="1"/>
  <c r="F82" i="1"/>
  <c r="F131" i="1"/>
  <c r="F426" i="1"/>
  <c r="F202" i="1"/>
  <c r="F390" i="1"/>
  <c r="F263" i="1"/>
  <c r="F790" i="1"/>
  <c r="F21" i="1"/>
  <c r="F225" i="1"/>
  <c r="F30" i="1"/>
  <c r="F535" i="1"/>
  <c r="F330" i="1"/>
  <c r="F128" i="1"/>
  <c r="F394" i="1"/>
  <c r="F701" i="1"/>
  <c r="F542" i="1"/>
  <c r="F401" i="1"/>
  <c r="F40" i="1"/>
  <c r="F768" i="1"/>
  <c r="F122" i="1"/>
  <c r="F63" i="1"/>
  <c r="F217" i="1"/>
  <c r="F551" i="1"/>
  <c r="F550" i="1"/>
  <c r="F553" i="1"/>
  <c r="F552" i="1"/>
  <c r="F522" i="1"/>
  <c r="F485" i="1"/>
  <c r="F484" i="1"/>
  <c r="F469" i="1"/>
  <c r="F468" i="1"/>
  <c r="F467" i="1"/>
  <c r="F466" i="1"/>
  <c r="F465" i="1"/>
  <c r="F464" i="1"/>
  <c r="F516" i="1"/>
  <c r="F515" i="1"/>
  <c r="F514" i="1"/>
  <c r="F513" i="1"/>
  <c r="F512" i="1"/>
  <c r="F508" i="1"/>
  <c r="F436" i="1"/>
  <c r="F283" i="1"/>
  <c r="F210" i="1"/>
  <c r="F209" i="1"/>
  <c r="F211" i="1"/>
  <c r="F156" i="1"/>
  <c r="F547" i="1"/>
  <c r="F87" i="1"/>
  <c r="F662" i="1"/>
  <c r="F661" i="1"/>
  <c r="F660" i="1"/>
  <c r="F658" i="1"/>
  <c r="F188" i="1"/>
  <c r="F187" i="1"/>
  <c r="F186" i="1"/>
  <c r="F528" i="1"/>
  <c r="F409" i="1"/>
  <c r="F55" i="1"/>
  <c r="F54" i="1"/>
  <c r="F497" i="1"/>
  <c r="F72" i="1"/>
  <c r="F756" i="1"/>
  <c r="F691" i="1"/>
  <c r="F222" i="1"/>
  <c r="F117" i="1"/>
  <c r="F196" i="1"/>
  <c r="F418" i="1"/>
  <c r="F417" i="1"/>
  <c r="F416" i="1"/>
  <c r="F356" i="1"/>
  <c r="F348" i="1"/>
  <c r="F173" i="1"/>
  <c r="F806" i="1"/>
  <c r="F559" i="1"/>
  <c r="F463" i="1"/>
  <c r="F462" i="1"/>
  <c r="F461" i="1"/>
  <c r="F460" i="1"/>
  <c r="A1" i="2"/>
  <c r="F475" i="1"/>
  <c r="F474" i="1"/>
  <c r="F142" i="1"/>
  <c r="F141" i="1"/>
  <c r="F672" i="1"/>
  <c r="F632" i="1"/>
  <c r="F655" i="1"/>
  <c r="F667" i="1"/>
  <c r="F452" i="1"/>
  <c r="F380" i="1"/>
  <c r="F674" i="1"/>
  <c r="F523" i="1"/>
  <c r="F524" i="1"/>
  <c r="F539" i="1"/>
  <c r="F705" i="1"/>
  <c r="F268" i="1"/>
  <c r="F617" i="1"/>
  <c r="F629" i="1"/>
  <c r="F697" i="1"/>
  <c r="F164" i="1"/>
  <c r="F162" i="1"/>
  <c r="F163" i="1"/>
  <c r="F165" i="1"/>
  <c r="F58" i="1"/>
  <c r="F540" i="1"/>
  <c r="F494" i="1"/>
  <c r="F363" i="1"/>
  <c r="F425" i="1"/>
  <c r="F343" i="1"/>
  <c r="F361" i="1"/>
  <c r="F135" i="1"/>
  <c r="F269" i="1"/>
  <c r="F414" i="1"/>
  <c r="F45" i="1"/>
  <c r="F152" i="1"/>
  <c r="F787" i="1"/>
  <c r="F243" i="1"/>
  <c r="F99" i="1"/>
  <c r="F631" i="1"/>
  <c r="F35" i="1"/>
  <c r="F430" i="1"/>
  <c r="F434" i="1"/>
  <c r="F178" i="1"/>
  <c r="F13" i="1"/>
  <c r="F14" i="1"/>
  <c r="F24" i="1"/>
  <c r="F25" i="1"/>
  <c r="F26" i="1"/>
  <c r="F27" i="1"/>
  <c r="F31" i="1"/>
  <c r="F32" i="1"/>
  <c r="F37" i="1"/>
  <c r="F39" i="1"/>
  <c r="F42" i="1"/>
  <c r="F43" i="1"/>
  <c r="F44" i="1"/>
  <c r="F46" i="1"/>
  <c r="F50" i="1"/>
  <c r="F51" i="1"/>
  <c r="F53" i="1"/>
  <c r="F60" i="1"/>
  <c r="F62" i="1"/>
  <c r="F64" i="1"/>
  <c r="F65" i="1"/>
  <c r="F66" i="1"/>
  <c r="F67" i="1"/>
  <c r="F68" i="1"/>
  <c r="F69" i="1"/>
  <c r="F70" i="1"/>
  <c r="F73" i="1"/>
  <c r="F74" i="1"/>
  <c r="F79" i="1"/>
  <c r="F81" i="1"/>
  <c r="F83" i="1"/>
  <c r="F84" i="1"/>
  <c r="F85" i="1"/>
  <c r="F86" i="1"/>
  <c r="F89" i="1"/>
  <c r="F90" i="1"/>
  <c r="F95" i="1"/>
  <c r="F96" i="1"/>
  <c r="F97" i="1"/>
  <c r="F98" i="1"/>
  <c r="F101" i="1"/>
  <c r="F104" i="1"/>
  <c r="F107" i="1"/>
  <c r="F108" i="1"/>
  <c r="F109" i="1"/>
  <c r="F110" i="1"/>
  <c r="F111" i="1"/>
  <c r="F112" i="1"/>
  <c r="F113" i="1"/>
  <c r="F114" i="1"/>
  <c r="F115" i="1"/>
  <c r="F116" i="1"/>
  <c r="F118" i="1"/>
  <c r="F120" i="1"/>
  <c r="F119" i="1"/>
  <c r="F123" i="1"/>
  <c r="F124" i="1"/>
  <c r="F125" i="1"/>
  <c r="F127" i="1"/>
  <c r="F130" i="1"/>
  <c r="F132" i="1"/>
  <c r="F133" i="1"/>
  <c r="F139" i="1"/>
  <c r="F140" i="1"/>
  <c r="F143" i="1"/>
  <c r="F144" i="1"/>
  <c r="F145" i="1"/>
  <c r="F146" i="1"/>
  <c r="F147" i="1"/>
  <c r="F149" i="1"/>
  <c r="F150" i="1"/>
  <c r="F151" i="1"/>
  <c r="F153" i="1"/>
  <c r="F154" i="1"/>
  <c r="F155" i="1"/>
  <c r="F172" i="1"/>
  <c r="F174" i="1"/>
  <c r="F175" i="1"/>
  <c r="F176" i="1"/>
  <c r="F177" i="1"/>
  <c r="F179" i="1"/>
  <c r="F180" i="1"/>
  <c r="F182" i="1"/>
  <c r="F183" i="1"/>
  <c r="F184" i="1"/>
  <c r="F185" i="1"/>
  <c r="F192" i="1"/>
  <c r="F199" i="1"/>
  <c r="F200" i="1"/>
  <c r="F203" i="1"/>
  <c r="F206" i="1"/>
  <c r="F207" i="1"/>
  <c r="F208" i="1"/>
  <c r="F212" i="1"/>
  <c r="F213" i="1"/>
  <c r="F214" i="1"/>
  <c r="F216" i="1"/>
  <c r="F226" i="1"/>
  <c r="F229" i="1"/>
  <c r="F234" i="1"/>
  <c r="F235" i="1"/>
  <c r="F237" i="1"/>
  <c r="F244" i="1"/>
  <c r="F245" i="1"/>
  <c r="F250" i="1"/>
  <c r="F251" i="1"/>
  <c r="F253" i="1"/>
  <c r="F257" i="1"/>
  <c r="F259" i="1"/>
  <c r="F261" i="1"/>
  <c r="F267" i="1"/>
  <c r="F272" i="1"/>
  <c r="F273" i="1"/>
  <c r="F275" i="1"/>
  <c r="F276" i="1"/>
  <c r="F274" i="1"/>
  <c r="F277" i="1"/>
  <c r="F278" i="1"/>
  <c r="F279" i="1"/>
  <c r="F280" i="1"/>
  <c r="F281" i="1"/>
  <c r="F316" i="1"/>
  <c r="F317" i="1"/>
  <c r="F318" i="1"/>
  <c r="F319" i="1"/>
  <c r="F321" i="1"/>
  <c r="F327" i="1"/>
  <c r="F329" i="1"/>
  <c r="F331" i="1"/>
  <c r="F332" i="1"/>
  <c r="F333" i="1"/>
  <c r="F335" i="1"/>
  <c r="F336" i="1"/>
  <c r="F337" i="1"/>
  <c r="F338" i="1"/>
  <c r="F339" i="1"/>
  <c r="F342" i="1"/>
  <c r="F345" i="1"/>
  <c r="F346" i="1"/>
  <c r="F347" i="1"/>
  <c r="F349" i="1"/>
  <c r="F350" i="1"/>
  <c r="F351" i="1"/>
  <c r="F353" i="1"/>
  <c r="F354" i="1"/>
  <c r="F357" i="1"/>
  <c r="F372" i="1"/>
  <c r="F377" i="1"/>
  <c r="F378" i="1"/>
  <c r="F379" i="1"/>
  <c r="F382" i="1"/>
  <c r="F388" i="1"/>
  <c r="F389" i="1"/>
  <c r="F392" i="1"/>
  <c r="F395" i="1"/>
  <c r="F396" i="1"/>
  <c r="F397" i="1"/>
  <c r="F398" i="1"/>
  <c r="F399" i="1"/>
  <c r="F400" i="1"/>
  <c r="F405" i="1"/>
  <c r="F406" i="1"/>
  <c r="F407" i="1"/>
  <c r="F408" i="1"/>
  <c r="F410" i="1"/>
  <c r="F411" i="1"/>
  <c r="F412" i="1"/>
  <c r="F413" i="1"/>
  <c r="F415" i="1"/>
  <c r="F419" i="1"/>
  <c r="F618" i="1"/>
  <c r="F619" i="1"/>
  <c r="F620" i="1"/>
  <c r="F621" i="1"/>
  <c r="F432" i="1"/>
  <c r="F433" i="1"/>
  <c r="F435" i="1"/>
  <c r="F444" i="1"/>
  <c r="F445" i="1"/>
  <c r="F446" i="1"/>
  <c r="F447" i="1"/>
  <c r="F448" i="1"/>
  <c r="F437" i="1"/>
  <c r="F438" i="1"/>
  <c r="F440" i="1"/>
  <c r="F441" i="1"/>
  <c r="F442" i="1"/>
  <c r="F443" i="1"/>
  <c r="F449" i="1"/>
  <c r="F450" i="1"/>
  <c r="F451" i="1"/>
  <c r="F453" i="1"/>
  <c r="F454" i="1"/>
  <c r="F455" i="1"/>
  <c r="F470" i="1"/>
  <c r="F471" i="1"/>
  <c r="F472" i="1"/>
  <c r="F473" i="1"/>
  <c r="F477" i="1"/>
  <c r="F479" i="1"/>
  <c r="F480" i="1"/>
  <c r="F478" i="1"/>
  <c r="F481" i="1"/>
  <c r="F486" i="1"/>
  <c r="F517" i="1"/>
  <c r="F518" i="1"/>
  <c r="F519" i="1"/>
  <c r="F525" i="1"/>
  <c r="F527" i="1"/>
  <c r="F533" i="1"/>
  <c r="F534" i="1"/>
  <c r="F530" i="1"/>
  <c r="F536" i="1"/>
  <c r="F537" i="1"/>
  <c r="F538" i="1"/>
  <c r="F543" i="1"/>
  <c r="F544" i="1"/>
  <c r="F554" i="1"/>
  <c r="F555" i="1"/>
  <c r="F556" i="1"/>
  <c r="F557" i="1"/>
  <c r="F558" i="1"/>
  <c r="F673" i="1"/>
  <c r="F675" i="1"/>
  <c r="F676" i="1"/>
  <c r="F677" i="1"/>
  <c r="F678" i="1"/>
  <c r="F669" i="1"/>
  <c r="F670" i="1"/>
  <c r="F668" i="1"/>
  <c r="F680" i="1"/>
  <c r="F681" i="1"/>
  <c r="F685" i="1"/>
  <c r="F686" i="1"/>
  <c r="F689" i="1"/>
  <c r="F687" i="1"/>
  <c r="F690" i="1"/>
  <c r="F692" i="1"/>
  <c r="F624" i="1"/>
  <c r="F627" i="1"/>
  <c r="F628" i="1"/>
  <c r="F633" i="1"/>
  <c r="F634" i="1"/>
  <c r="F637" i="1"/>
  <c r="F638" i="1"/>
  <c r="F640" i="1"/>
  <c r="F642" i="1"/>
  <c r="F694" i="1"/>
  <c r="F698" i="1"/>
  <c r="F699" i="1"/>
  <c r="F702" i="1"/>
  <c r="F704" i="1"/>
  <c r="F721" i="1"/>
  <c r="F724" i="1"/>
  <c r="F725" i="1"/>
  <c r="F726" i="1"/>
  <c r="F727" i="1"/>
  <c r="F728" i="1"/>
  <c r="F729" i="1"/>
  <c r="F730" i="1"/>
  <c r="F732" i="1"/>
  <c r="F733" i="1"/>
  <c r="F735" i="1"/>
  <c r="F737" i="1"/>
  <c r="F656" i="1"/>
  <c r="F659" i="1"/>
  <c r="F741" i="1"/>
  <c r="F754" i="1"/>
  <c r="F755" i="1"/>
  <c r="F757" i="1"/>
  <c r="F759" i="1"/>
  <c r="F761" i="1"/>
  <c r="F762" i="1"/>
  <c r="F763" i="1"/>
  <c r="F764" i="1"/>
  <c r="F765" i="1"/>
  <c r="F778" i="1"/>
  <c r="F788" i="1"/>
  <c r="F793" i="1"/>
  <c r="F770" i="1"/>
  <c r="F781" i="1"/>
  <c r="F783" i="1"/>
  <c r="F784" i="1"/>
  <c r="F785" i="1"/>
  <c r="F786" i="1"/>
  <c r="F789" i="1"/>
  <c r="F791" i="1"/>
  <c r="F792" i="1"/>
  <c r="F796" i="1"/>
  <c r="F818" i="1"/>
  <c r="F824" i="1"/>
  <c r="F822" i="1" l="1"/>
  <c r="F814" i="1"/>
  <c r="F817" i="1"/>
  <c r="F821" i="1"/>
  <c r="F813" i="1"/>
  <c r="F845" i="1"/>
  <c r="F820" i="1"/>
  <c r="F843" i="1"/>
  <c r="F808" i="1"/>
  <c r="F816" i="1"/>
  <c r="F844" i="1"/>
  <c r="F812" i="1"/>
  <c r="F819" i="1"/>
  <c r="F815" i="1"/>
  <c r="F809" i="1"/>
</calcChain>
</file>

<file path=xl/sharedStrings.xml><?xml version="1.0" encoding="utf-8"?>
<sst xmlns="http://schemas.openxmlformats.org/spreadsheetml/2006/main" count="872" uniqueCount="840">
  <si>
    <t xml:space="preserve">                                                                            Nicoya, Guanacaste</t>
  </si>
  <si>
    <t xml:space="preserve">       WHISKY</t>
  </si>
  <si>
    <t>Producto</t>
  </si>
  <si>
    <t>Prec. Vta</t>
  </si>
  <si>
    <t xml:space="preserve">       RON</t>
  </si>
  <si>
    <t xml:space="preserve">       VODKA</t>
  </si>
  <si>
    <t xml:space="preserve">       TEQUILA</t>
  </si>
  <si>
    <t xml:space="preserve">       CREMAS</t>
  </si>
  <si>
    <t xml:space="preserve">       VINO</t>
  </si>
  <si>
    <t xml:space="preserve">       BRANDY</t>
  </si>
  <si>
    <t xml:space="preserve">       COGNAC</t>
  </si>
  <si>
    <t xml:space="preserve">       GINEBRA</t>
  </si>
  <si>
    <t xml:space="preserve">       VERMOUTH</t>
  </si>
  <si>
    <t xml:space="preserve">       LICORES</t>
  </si>
  <si>
    <t xml:space="preserve">       CERVEZA DETALLE</t>
  </si>
  <si>
    <t xml:space="preserve">       CIGARROS RUEDA</t>
  </si>
  <si>
    <t xml:space="preserve">       COCKTELERIA</t>
  </si>
  <si>
    <t xml:space="preserve">       AGUA</t>
  </si>
  <si>
    <t xml:space="preserve">PRECIOS SUJETOS A CAMBIOS </t>
  </si>
  <si>
    <t xml:space="preserve">                                                                 Codigo Fiscal DM 0014 Ley 8707</t>
  </si>
  <si>
    <t xml:space="preserve">       VINOS TETRABRIK</t>
  </si>
  <si>
    <t xml:space="preserve">       PORTO</t>
  </si>
  <si>
    <t xml:space="preserve">       GRAPPA</t>
  </si>
  <si>
    <t xml:space="preserve">                                                                 E-mail: info@lh.co.cr</t>
  </si>
  <si>
    <t xml:space="preserve">                                              Telefonos:  2686-6063 / 2685-6068 Fax:  2686-7571</t>
  </si>
  <si>
    <t>PASSPORT 1000ML</t>
  </si>
  <si>
    <t>BALLANTINE´S 1000ML</t>
  </si>
  <si>
    <t>BUCHANANS 12 AÑOS 750ML</t>
  </si>
  <si>
    <t>BUCHANAN`S 18 AÑOS 750ML</t>
  </si>
  <si>
    <t>BLACK &amp; WHITE 750 ML</t>
  </si>
  <si>
    <t>CANADIAN MIST 750ML</t>
  </si>
  <si>
    <t>CHIVAS REGAL 12 AÑOS 750ML</t>
  </si>
  <si>
    <t>CHIVAS REGAL 12 AÑOS 1000ML</t>
  </si>
  <si>
    <t>CHIVAS REGAL 18 ANOS 750 ML</t>
  </si>
  <si>
    <t>CRAWFORD`S 1000 ML</t>
  </si>
  <si>
    <t>CRAWFORD`S 200ML</t>
  </si>
  <si>
    <t>DEWARS 750ML</t>
  </si>
  <si>
    <t>DEWAR'S 12 AÑOS SPECIAL RES 1000 ML</t>
  </si>
  <si>
    <t>DEWAR'S 18 AÑOS 750ML</t>
  </si>
  <si>
    <t>EARLY TIMES 750ML</t>
  </si>
  <si>
    <t xml:space="preserve">FIREBALL 1L </t>
  </si>
  <si>
    <t>GENTLEMAN JACK 750 ML</t>
  </si>
  <si>
    <t>GLENFIDDICH 12 AÑOS 750ML</t>
  </si>
  <si>
    <t>GLENFIDDICH 12 AÑOS LITRO</t>
  </si>
  <si>
    <t>GLENFIDDICH 15 AÑOS 750ML</t>
  </si>
  <si>
    <t>GLENFIDDICH 18 AÑOS 750ML</t>
  </si>
  <si>
    <t>GLENLIVET FOUNDERS RESERVE  750ML</t>
  </si>
  <si>
    <t>J &amp; B 200ML</t>
  </si>
  <si>
    <t>J &amp; B LITRO</t>
  </si>
  <si>
    <t>JACK DANIELS 200ML</t>
  </si>
  <si>
    <t>JACK DANIELS 750ML</t>
  </si>
  <si>
    <t>JACK DANIELS 1000ML</t>
  </si>
  <si>
    <t>JACK DANIELS HONEY 750ML</t>
  </si>
  <si>
    <t>JAMESON IRISH 1L</t>
  </si>
  <si>
    <t>JIM BEAM 750ML</t>
  </si>
  <si>
    <t>JIM BEAM HONEY 750ML</t>
  </si>
  <si>
    <t>JOHNNIE W RED 200ML</t>
  </si>
  <si>
    <t>JOHNNIE W RED 375ML</t>
  </si>
  <si>
    <t>JOHNNIE W RED 750ML</t>
  </si>
  <si>
    <t xml:space="preserve">JOHNNIE W RED 1000ML </t>
  </si>
  <si>
    <t>JOHNNIE W BLACK 200ML</t>
  </si>
  <si>
    <t>JOHNNIE W BLACK 375ML</t>
  </si>
  <si>
    <t>JOHNNIE W BLACK 1000ML</t>
  </si>
  <si>
    <t>JOHNNIE DOUBLE BLACK 1000ML</t>
  </si>
  <si>
    <t>JOHNNIE W SWING 750ML</t>
  </si>
  <si>
    <t>JOHNNIE W GOLD 750ML</t>
  </si>
  <si>
    <t>OLD PARR 750ML</t>
  </si>
  <si>
    <t>OLD PARR LITRO</t>
  </si>
  <si>
    <t>PASSPORT 200ML</t>
  </si>
  <si>
    <t>PASSPORT 750ML</t>
  </si>
  <si>
    <t>SOMETHING SPECIAL 1000ML</t>
  </si>
  <si>
    <t>SOMETHING SPECIAL 750ML</t>
  </si>
  <si>
    <t>SOUTHERN COMFORT 750ML</t>
  </si>
  <si>
    <t>WILLIAM LAWSON´S 1000ML</t>
  </si>
  <si>
    <t>ABUELO 7 AÑOS 750ML</t>
  </si>
  <si>
    <t>ABUELO 12 AÑOS 750ML</t>
  </si>
  <si>
    <t>APPLETON ESTATE 12 AÑOS  750ML</t>
  </si>
  <si>
    <t>APPLETON ESTATE SIGNATURE BEND 750ML</t>
  </si>
  <si>
    <t>BACARDI 8 AÑOS 750ML</t>
  </si>
  <si>
    <t>BACARDI BLANCO 200ML</t>
  </si>
  <si>
    <t>BACARDI BLANCO 375ML</t>
  </si>
  <si>
    <t>BACARDI BLANCO 750ML</t>
  </si>
  <si>
    <t>BACARDI BLANCO 980ML</t>
  </si>
  <si>
    <t>BACARDI BLANCO 1750ML</t>
  </si>
  <si>
    <t>BACARDI ORO 200ML</t>
  </si>
  <si>
    <t>BACARDI ORO 375ML</t>
  </si>
  <si>
    <t>BACARDI ORO 750ML</t>
  </si>
  <si>
    <t>BACARDI ORO 980ML</t>
  </si>
  <si>
    <t>BACARDI ORO 1750ML</t>
  </si>
  <si>
    <t>BACARDI FRAMBUESA 750ML (RAZZ )</t>
  </si>
  <si>
    <t>BACARDI LIMON 750ML</t>
  </si>
  <si>
    <t>CACIQUE COLORADO 365ML</t>
  </si>
  <si>
    <t>CACIQUE COLORADO 1000ML</t>
  </si>
  <si>
    <t>CAPITAN MORGAN ORO 750ML</t>
  </si>
  <si>
    <t>CAPITAN MORGAN ORO 1000ML</t>
  </si>
  <si>
    <t xml:space="preserve">CENTENARIO 5 AÑOS 200ML </t>
  </si>
  <si>
    <t xml:space="preserve">CENTENARIO 5 AÑOS 375ML </t>
  </si>
  <si>
    <t xml:space="preserve">CENTENARIO 5 AÑOS 750ML </t>
  </si>
  <si>
    <t>CENTENARIO 7 AÑOS 200ML</t>
  </si>
  <si>
    <t>CENTENARIO 7 AÑOS 750ML</t>
  </si>
  <si>
    <t>CENTENARIO 12 AÑOS 750ML</t>
  </si>
  <si>
    <t>CENTENARIO 20 AÑOS 750ML</t>
  </si>
  <si>
    <t>CENTENARIO 25 AÑOS 750ML</t>
  </si>
  <si>
    <t>CENTENARIO 30 AÑOS 750ML</t>
  </si>
  <si>
    <t>CORTEZ BLANCO 750ML</t>
  </si>
  <si>
    <t>CORTEZ BLANCO 1750ML</t>
  </si>
  <si>
    <t xml:space="preserve">CORTEZ BLANCO 1000ML </t>
  </si>
  <si>
    <t xml:space="preserve">CORTEZ ORO 1000ML </t>
  </si>
  <si>
    <t>CORTEZ ORO 750ML</t>
  </si>
  <si>
    <t>CORTEZ ORO 1750ML</t>
  </si>
  <si>
    <t>FLOR 4 AÑOS 375ML</t>
  </si>
  <si>
    <t xml:space="preserve">FLOR 4 AÑOS 750ML </t>
  </si>
  <si>
    <t>FLOR 4 AÑOS 1750ML</t>
  </si>
  <si>
    <t>FLOR 5 AÑOS 1750ML</t>
  </si>
  <si>
    <t>FLOR 7 AÑOS 375ML</t>
  </si>
  <si>
    <t>FLOR 7 AÑOS 1000ML</t>
  </si>
  <si>
    <t>FLOR 7 AÑOS 1750ML</t>
  </si>
  <si>
    <t>FLOR DE CAÑA 12 AÑOS 750ML</t>
  </si>
  <si>
    <t>FLOR DE CAÑA 18 AÑOS 750ML</t>
  </si>
  <si>
    <t>FLOR DE CAÑA 25 AÑOS 750ML</t>
  </si>
  <si>
    <t>MALIBU 750ML</t>
  </si>
  <si>
    <t>MALIBU 1000ML</t>
  </si>
  <si>
    <t>RON BOTRAN 5 AÑOS 750ML</t>
  </si>
  <si>
    <t>RON BOTRAN 5 AÑOS 1750ML</t>
  </si>
  <si>
    <t>RON BOTRAN 8 AÑOS 750ML</t>
  </si>
  <si>
    <t>ZACAPA 23 AÑOS 750ML</t>
  </si>
  <si>
    <t>ZACAPA XO 700ML</t>
  </si>
  <si>
    <t>ABSOLUT 200ML</t>
  </si>
  <si>
    <t>ABSOLUT 375ML</t>
  </si>
  <si>
    <t>ABSOLUT 750ML</t>
  </si>
  <si>
    <t>ABSOLUT 1000ML</t>
  </si>
  <si>
    <t>ABSOLUT CITRON 1000ML</t>
  </si>
  <si>
    <t>ABSOLUT MANDARINA 1000ML</t>
  </si>
  <si>
    <t>ABSOLUT RASPBERRY 1000ML</t>
  </si>
  <si>
    <t>ABSOLUT VAINILLA 1000ML</t>
  </si>
  <si>
    <t>ABSOLUT APEACH 1000ML</t>
  </si>
  <si>
    <t>ABSOLUT PEARS 1000ML</t>
  </si>
  <si>
    <t>ABSOLUT KURANT 1000ML</t>
  </si>
  <si>
    <t>BELVEDERE 1000ML</t>
  </si>
  <si>
    <t>FINLANDIA 750ML</t>
  </si>
  <si>
    <t>GREY GOOSE 375ML</t>
  </si>
  <si>
    <t>GREY GOOSE 750ML</t>
  </si>
  <si>
    <t>KETEL ONE 750 ML</t>
  </si>
  <si>
    <t>NIKOLAI 200ML</t>
  </si>
  <si>
    <t>NIKOLAI 750ML</t>
  </si>
  <si>
    <t>ROSTOV 335 ML</t>
  </si>
  <si>
    <t>ROSTOV 750ML</t>
  </si>
  <si>
    <t>ROSTOV 2000 ML</t>
  </si>
  <si>
    <t>SMIRNOFF 375ML</t>
  </si>
  <si>
    <t>SMIRNOFF 750ML</t>
  </si>
  <si>
    <t>SMIRNOFF 1000ML</t>
  </si>
  <si>
    <t>SMIRNOFF 1750ML</t>
  </si>
  <si>
    <t>SMIRNOFF GREEN APPLE TWIST 750ML</t>
  </si>
  <si>
    <t>SMIRNOFF MARSHMALLOW 750ML</t>
  </si>
  <si>
    <t>SMIRNOFF PEACH TWIST 750ML</t>
  </si>
  <si>
    <t>SMIRNOFF VANILLA 750ML</t>
  </si>
  <si>
    <t>STOLICHNAYA 750ML</t>
  </si>
  <si>
    <t>STOLICHNAYA 1000ML</t>
  </si>
  <si>
    <t>STOLICHANAYA ELIT 750ML</t>
  </si>
  <si>
    <t>TANQUERAY DRY GIN 1000 ML</t>
  </si>
  <si>
    <t>TANQUERAY DRY GIN 750 ML</t>
  </si>
  <si>
    <t>VODKA CIROC 750ML</t>
  </si>
  <si>
    <t>AGAVERO TEQUILA LICUOR</t>
  </si>
  <si>
    <t>CUERVO 1800 BLANCO 750ML</t>
  </si>
  <si>
    <t>CUERVO 1800 AÑEJO 750ML</t>
  </si>
  <si>
    <t>CUERVO BLACK 750ML</t>
  </si>
  <si>
    <t>CUERVO TRADICIONAL 750ML</t>
  </si>
  <si>
    <t>DON JULIO BLANCO 750ML</t>
  </si>
  <si>
    <t>DON JULIO REPOSADO 750ML</t>
  </si>
  <si>
    <t>DON JULIO AÑEJO 750 ML</t>
  </si>
  <si>
    <t>DON JULIO 1942 750ML</t>
  </si>
  <si>
    <t>DURANGO ORO 1000 ML</t>
  </si>
  <si>
    <t>HERRADURA BLANCO 750ML</t>
  </si>
  <si>
    <t>HERRADURA ORO 750ML</t>
  </si>
  <si>
    <t>JARANA BLANCO 1000ML</t>
  </si>
  <si>
    <t>JARANA ORO 1000ML</t>
  </si>
  <si>
    <t>JARANA ORO 1750ML</t>
  </si>
  <si>
    <t>JIMADOR BLANCO 750ML</t>
  </si>
  <si>
    <t>JIMADOR ORO 750ML</t>
  </si>
  <si>
    <t>MAYORAZGO REPOSADO 750ML</t>
  </si>
  <si>
    <t>MILAGRO PLATA 750ML</t>
  </si>
  <si>
    <t>MILAGRO AÑEJO 750ML</t>
  </si>
  <si>
    <t>PATRON SILVER 750 ML</t>
  </si>
  <si>
    <t>PATRON REPOSADO 750 ML</t>
  </si>
  <si>
    <t>PATRON AÑEJO 750ML</t>
  </si>
  <si>
    <t>RANCHO ESCONDIDO BLANCO750ML</t>
  </si>
  <si>
    <t>RANCHO ESCONDIDO ORO750ML</t>
  </si>
  <si>
    <t>SAUZA TRES GENERACIONES</t>
  </si>
  <si>
    <t>TEQUILA CAZADORES ORO 750ML</t>
  </si>
  <si>
    <t>TEQUILA CAZADORES AÑEJO 750ML</t>
  </si>
  <si>
    <t>TEQUILA ROSE CREAM 750ML</t>
  </si>
  <si>
    <t>AMARETO DISARONNO 700 ML</t>
  </si>
  <si>
    <t>AMARETO DISARONNO 1000 ML</t>
  </si>
  <si>
    <t>AMARO AVERNA 700ML</t>
  </si>
  <si>
    <t>AMARO MONTENEGRO 750 ML</t>
  </si>
  <si>
    <t>AMARULA 750ML</t>
  </si>
  <si>
    <t>ANIS DEL MONO DULCE 750ML</t>
  </si>
  <si>
    <t>BAILEYS IRISH 200ML</t>
  </si>
  <si>
    <t>BAILEYS IRISH 375ML</t>
  </si>
  <si>
    <t>BAILEYS IRISH 750ML</t>
  </si>
  <si>
    <t>BAILEYS IRISH 1000ML</t>
  </si>
  <si>
    <t>BARDINET CACAO 700ML</t>
  </si>
  <si>
    <t>BARDINET CASSIS DIJON 700ML</t>
  </si>
  <si>
    <t>BARDINET CREMA BANANO 700ML</t>
  </si>
  <si>
    <t>BARDINET CURACAO AZUL 700ML</t>
  </si>
  <si>
    <t>BARDINET MENTA VERDE 750ML</t>
  </si>
  <si>
    <t>BARDINET SOUR APPLE 700ML</t>
  </si>
  <si>
    <t>BARDINET TRIPLE SEC 700ML</t>
  </si>
  <si>
    <t>BOLS CASSIS 1000ML</t>
  </si>
  <si>
    <t>BOLS CHERRY BRANDY 1000ML</t>
  </si>
  <si>
    <t>BOLS TRIPLE SEC 700ML</t>
  </si>
  <si>
    <t>CAMPARI 750ML</t>
  </si>
  <si>
    <t>COINTREAU 1000ML</t>
  </si>
  <si>
    <t>FANAL ANIS IMPERIAL 750ML</t>
  </si>
  <si>
    <t>FANAL PERFECTO AMOR 750ML</t>
  </si>
  <si>
    <t>FANAL MENTA VERDE 750ML</t>
  </si>
  <si>
    <t>FANAL TRIPLE SEC 750ML</t>
  </si>
  <si>
    <t>FERNET BRANCA 750ML</t>
  </si>
  <si>
    <t>FRANGELICO 700 ML</t>
  </si>
  <si>
    <t>GRAND MARNIER ROJO 700 ML</t>
  </si>
  <si>
    <t>JAGERMEISTER  700ML</t>
  </si>
  <si>
    <t>LICOR 43 750ML</t>
  </si>
  <si>
    <t>MIDORI LICOR DE MELON 750ML</t>
  </si>
  <si>
    <t>PASSOA 700ML</t>
  </si>
  <si>
    <t>SALICSA CAFE RICA SACO 200ML</t>
  </si>
  <si>
    <t>SALICSA CAFE RICA 750ML</t>
  </si>
  <si>
    <t>SALICSA CAFE RICA SACO 750ML</t>
  </si>
  <si>
    <t>SAMBUCA MOLINARI 750ML</t>
  </si>
  <si>
    <t>ALAMOS MALBEC 750ML</t>
  </si>
  <si>
    <t>ALTO SUR SAU/BLAN 750</t>
  </si>
  <si>
    <t>BARON PHILIPPE CAB/SAU 750ML</t>
  </si>
  <si>
    <t>BARON PHILIPPE CHARDONNAY 750ML</t>
  </si>
  <si>
    <t>BERINGER FOUND CAB/SAUV 750ML</t>
  </si>
  <si>
    <t>BERINGER FOUND CHARDONAY 750ML</t>
  </si>
  <si>
    <t>BERINGER FOUND MERLOT 750 ML</t>
  </si>
  <si>
    <t>BERINGER FOUND PINOT NOIR 750ML</t>
  </si>
  <si>
    <t>BERINGER WHITE ZINFANDEL 750ML</t>
  </si>
  <si>
    <t>CASILLERO CAB/SAUV 750ML</t>
  </si>
  <si>
    <t>CASILLERO CARMENERE 750ML</t>
  </si>
  <si>
    <t>CASILLERO CHARDONAY 750 ML</t>
  </si>
  <si>
    <t>CASILLERO MALBEC 750ML</t>
  </si>
  <si>
    <t>CASILLERO MERLOT 750ML</t>
  </si>
  <si>
    <t>CASILLERO PINOT GRIGIO 750ML</t>
  </si>
  <si>
    <t>CASILLERO SAUV/BLANC 750ML</t>
  </si>
  <si>
    <t>CASILLERO SHIRAZ ROSÉ 750ML</t>
  </si>
  <si>
    <t>CASILLERO SYRAH 750 ML</t>
  </si>
  <si>
    <t>CASILLERO PINOT NOIR 750ML</t>
  </si>
  <si>
    <t>CASILLERO VIOGNIER 750ML</t>
  </si>
  <si>
    <t>CATENA CHARDONNAY 750 ML</t>
  </si>
  <si>
    <t>CATENA CABERNET SAUVIGNON 750 ML</t>
  </si>
  <si>
    <t>CATENA MALBEC 375 ML</t>
  </si>
  <si>
    <t>CATENA MALBEC 750 ML</t>
  </si>
  <si>
    <t>COLUMBIA CREST CAB/SAU 750ML</t>
  </si>
  <si>
    <t>COLUMBIA CREST CHARDONNAY 750ML</t>
  </si>
  <si>
    <t>ERRAZURIZ MAX CAB/SAUV 750ML</t>
  </si>
  <si>
    <t>ERRAZURIZ RESER CAB/SAUV 750ML</t>
  </si>
  <si>
    <t>ERRAZURIZ RESER CARMENERE 750ML</t>
  </si>
  <si>
    <t>ERRAZURIZ RESER CHARDONNAY 750ML</t>
  </si>
  <si>
    <t>ERRAZURIZ RESER MERLOT 750ML</t>
  </si>
  <si>
    <t>ERRAZURIZ RESER SAU/BLANC 750ML</t>
  </si>
  <si>
    <t>ERRAZURIZ RESER SHIRAZ 750ML</t>
  </si>
  <si>
    <t>FRONTERA CAB/SAUV 750 ML</t>
  </si>
  <si>
    <t>FRONTERA CHARDONNAY 750 ML</t>
  </si>
  <si>
    <t>FRONTERA CARMENERE 750 ML</t>
  </si>
  <si>
    <t>FRONTERA MERLOT 750ML</t>
  </si>
  <si>
    <t>FRONTERA ROSE 750 ML</t>
  </si>
  <si>
    <t>FRONTERA SAUV/BLANC 750 ML</t>
  </si>
  <si>
    <t>FRONTERA SHIRAZ 750 ML</t>
  </si>
  <si>
    <t>FRONTERA 1.5 CAB/SAUV</t>
  </si>
  <si>
    <t>FRONTERA 1.5 CHARDONNAY</t>
  </si>
  <si>
    <t>FRONTERA 1.5 MERLOT</t>
  </si>
  <si>
    <t>FRONTERA 1.5 ROSE</t>
  </si>
  <si>
    <t>FRONTERA 1.5 SAUV/BLANC</t>
  </si>
  <si>
    <t>GATO NEGRO SAU/BLANC 1.5ML</t>
  </si>
  <si>
    <t>GATO NEGRO SAU/BLANC 750ML</t>
  </si>
  <si>
    <t>GATO NEGRO CHARDONNAY 750ML</t>
  </si>
  <si>
    <t>GATO NEGRO CHARDONNAY 1.5ML</t>
  </si>
  <si>
    <t>GATO NEGRO CAB/SAUV 1.5ML</t>
  </si>
  <si>
    <t>GATO NEGRO CAB/SAUV 750ML</t>
  </si>
  <si>
    <t>GATO NEGRO MERLOT 750 ML</t>
  </si>
  <si>
    <t>GATO NEGRO MERLOT 1.5 ML</t>
  </si>
  <si>
    <t>LAS MORAS RESERVE CAB/SHIRAZ 750ML</t>
  </si>
  <si>
    <t>LAS MORAS RESERVE CHARDONNAY 750ML</t>
  </si>
  <si>
    <t>LAZO CABERNET/SAUVIGNON 750 ML</t>
  </si>
  <si>
    <t>LAZO MERLOT 750 ML</t>
  </si>
  <si>
    <t>LAZO CHARDONNAY 750 ML</t>
  </si>
  <si>
    <t>LAZO SAUVIGNON/BLANC 750 ML</t>
  </si>
  <si>
    <t>LINDEMANS BIN 40 MERLOT 750ML</t>
  </si>
  <si>
    <t>LINDEMANS BIN 45 CAB/SAU 750ML</t>
  </si>
  <si>
    <t>LINDEMANS BIN 50 SHIRAZ 750ML</t>
  </si>
  <si>
    <t>LINDEMANS BIN 65 CHARDONNAY 750ML</t>
  </si>
  <si>
    <t>LINDEMANS BIN 95 SAU/BLANC 750ML</t>
  </si>
  <si>
    <t>LUIGI BOSCA CAB/SAUV 750ML</t>
  </si>
  <si>
    <t>LUIGI BOSCA MALBEC 750ML</t>
  </si>
  <si>
    <t>LUIGI BOSCA MERLOT 750ML</t>
  </si>
  <si>
    <t>LUIGI BOSCA PINOT NOIR 750ML</t>
  </si>
  <si>
    <t>LUIGI BOSCA SAUV BLANC 750 ML</t>
  </si>
  <si>
    <t>LUIGI BOSCA LA LINDA MALBEC 750ML</t>
  </si>
  <si>
    <t>MARQUES C.CONCHA CAB/SAUV 750ML</t>
  </si>
  <si>
    <t>MARQUES CACERES BLANCO 750ML</t>
  </si>
  <si>
    <t>MARQUES CACERES ROSADO 750ML</t>
  </si>
  <si>
    <t>MARQUES CACERES CRIANZA TINTO 750ML</t>
  </si>
  <si>
    <t>MARQUES CACERES RESERVA 750ML</t>
  </si>
  <si>
    <t>MONTEPULCIANO ABRUZZO ZONIN 1.5L</t>
  </si>
  <si>
    <t>MOUTON CADET BORDEAUX BLANCO 750ML</t>
  </si>
  <si>
    <t>MOUTON CADET BORDEAUX TINTO 750ML</t>
  </si>
  <si>
    <t>OGNIGIORNO CABERNET 1.5L</t>
  </si>
  <si>
    <t>OGNIGIORNO BIANCO 1.5L</t>
  </si>
  <si>
    <t>OGNIGIORNO MERLOT 1.5L</t>
  </si>
  <si>
    <t>OGNIGIORNO FRIZZANTINO 1.5L</t>
  </si>
  <si>
    <t>PATA NEGRA RIOJA CRIANZA</t>
  </si>
  <si>
    <t>PATA NEGRA RESERVA</t>
  </si>
  <si>
    <t>PINOT GRIGIO ZONIN 750ML</t>
  </si>
  <si>
    <t>PLACIDO PINOT GRIGIO 750ML</t>
  </si>
  <si>
    <t>RAICES CRIANZA 750ML</t>
  </si>
  <si>
    <t xml:space="preserve">RAICES RESERVA 750ML </t>
  </si>
  <si>
    <t>RAMON BILBAO LIMITED EDITION 750ML</t>
  </si>
  <si>
    <t>ROBERT MONDAVI CAB/SAU 750ML</t>
  </si>
  <si>
    <t>RUFFINO CHIANTI DOCG 750ML</t>
  </si>
  <si>
    <t>RUFFINO ORVIETO CLASSICO 750ML</t>
  </si>
  <si>
    <t>SANTA HELENA VARIETAL CAB/SAU 750ML</t>
  </si>
  <si>
    <t>SANTA HELENA VARIETAL CHARDONNAY 750ML</t>
  </si>
  <si>
    <t>SANTA HELENA VARIETAL MERLOT 750ML</t>
  </si>
  <si>
    <t>SANTA JULIA CABERNET 750ML</t>
  </si>
  <si>
    <t>SANTA JULIA CABERNET RESERVA 750ML</t>
  </si>
  <si>
    <t>SANTA JULIA CHARDONNAY 750ML</t>
  </si>
  <si>
    <t>SANTA JULIA MALBEC 750ML</t>
  </si>
  <si>
    <t>SANTA JULIA MALBEC RESERVA 750ML</t>
  </si>
  <si>
    <t>SANTA JULIA MERLOT 750ML</t>
  </si>
  <si>
    <t>SANTA JULIA ORGANICO MALBEC 750 ML</t>
  </si>
  <si>
    <t>SANTA JULIA PINOT GRIGIO 750ML</t>
  </si>
  <si>
    <t>SARTORI VILLA MURA PINOT G. 750ML</t>
  </si>
  <si>
    <t>SONATA CAB/SAUV 750ML</t>
  </si>
  <si>
    <t>SONATA MERLOT 750ML</t>
  </si>
  <si>
    <t>SONATA SAUV/BLANC 750ML</t>
  </si>
  <si>
    <t>SONATA MERLOT 1.5L</t>
  </si>
  <si>
    <t>SONATA SAUV/BLANC 1.5L</t>
  </si>
  <si>
    <t>TRAPICHE CAB/SAUV 750ML</t>
  </si>
  <si>
    <t>TRAPICHE CHARDONNAY 750ML</t>
  </si>
  <si>
    <t>TRAPICHE MALBEC 750ML</t>
  </si>
  <si>
    <t>TRAPICHE MALBEC RESERVA750ML</t>
  </si>
  <si>
    <t>TRAPICHE MERLOT 750ML</t>
  </si>
  <si>
    <t>TRAPICHE PINOT NOIR 750ML</t>
  </si>
  <si>
    <t>TRAPICHE PINOT GRIGIO 750ML</t>
  </si>
  <si>
    <t>TRAPICHE SAUV/BLAN 750ML</t>
  </si>
  <si>
    <t>TRAPICHE SHIRAZ 750ML</t>
  </si>
  <si>
    <t>BARDINET AMARETO 700ML</t>
  </si>
  <si>
    <t>UNDURRAGA CAB/SAUV 750ML</t>
  </si>
  <si>
    <t>UNDURRAGA CARMENERE 750ML</t>
  </si>
  <si>
    <t>UNDURRAGA CHARDONAY 750ML</t>
  </si>
  <si>
    <t>UNDURRAGA MERLOT 750ML</t>
  </si>
  <si>
    <t>UNDURRAGA SAUV/BLANC 750ML</t>
  </si>
  <si>
    <t>WOODBRIDGE MONDAVI PINOT GRIGIO 750ML</t>
  </si>
  <si>
    <t>WOODBRIDGE MONDAVI SAU/BLANC 750ML</t>
  </si>
  <si>
    <t>WOODBRIDGE MONDAVI ZINFANDEL 750ML</t>
  </si>
  <si>
    <t>YELLOW TAIL CHARDONNAY 750ML</t>
  </si>
  <si>
    <t>YELLOW TAIL CAB/SAUV 750ML</t>
  </si>
  <si>
    <t>YELLOW TAIL MERLOT 750ML</t>
  </si>
  <si>
    <t>YELLOW TAIL SHIRAZ 750ML</t>
  </si>
  <si>
    <t>YELLOW TAIL SHIRAZ/CAB 750ML</t>
  </si>
  <si>
    <t>FREIXENET CARTA NEVADA 750ML</t>
  </si>
  <si>
    <t>NAVARRO CORREAS BRUT 750ML</t>
  </si>
  <si>
    <t>PICCINI PROSECCO EXTRA DRY 200 ML</t>
  </si>
  <si>
    <t>PICCINI PROSECCO EXTRA DRY 750 ML</t>
  </si>
  <si>
    <t>TRAPICHE BRUT 750ML</t>
  </si>
  <si>
    <t>UNDURRAGA BRUT 750ML</t>
  </si>
  <si>
    <t>VIDEVA</t>
  </si>
  <si>
    <t>CAVA PATA NEGRA ROSADO</t>
  </si>
  <si>
    <t>VEUVE CLICQUOT BRUT 750ML</t>
  </si>
  <si>
    <t>MOET &amp; CHANDON BRUT IMPERIAL 750ML</t>
  </si>
  <si>
    <t>MOET &amp; CHANDON BRUT ROSE 750ML</t>
  </si>
  <si>
    <t>GRAPPA ALEXANDER 700ML</t>
  </si>
  <si>
    <t>GRAPPA DI PROSECCO 700 ml GAIARINE</t>
  </si>
  <si>
    <t>GRAPPA LIQUIRIZIA</t>
  </si>
  <si>
    <t>GRAPPA PO DI POLI MERLOT IN TUBO 700ml</t>
  </si>
  <si>
    <t>GRAPPA PO DI POLI PINOT IN TUBO 700ml</t>
  </si>
  <si>
    <t>GRAPPA TIPICA 700 ml GAIARINE</t>
  </si>
  <si>
    <t>GRAPPA SARPA BARRIQUE 700 ml</t>
  </si>
  <si>
    <t>PORTO OSBORNE TAWNY 750ML</t>
  </si>
  <si>
    <t>PORTO FERREIRA TAWNY 750ML</t>
  </si>
  <si>
    <t>CARDENAL MENDOZA 750 ML</t>
  </si>
  <si>
    <t>GRAN DUQUE DE ALBA 750ML</t>
  </si>
  <si>
    <t>JEREZ TIO PEPE 750ML</t>
  </si>
  <si>
    <t>HENNESSY VS 700 ML</t>
  </si>
  <si>
    <t>HENNESSY XO</t>
  </si>
  <si>
    <t>HENNESSY VSOP 700 ML</t>
  </si>
  <si>
    <t>REMY MARTIN X.O 750ML</t>
  </si>
  <si>
    <t>CACIQUE GINEBRA 1000ML C/E</t>
  </si>
  <si>
    <t>GIN BEEFEATER 750ML</t>
  </si>
  <si>
    <t>GIN BOMBAY 750ML</t>
  </si>
  <si>
    <t>GIN BOMBAY 1000 ML</t>
  </si>
  <si>
    <t>GIN  GORDON 750ML</t>
  </si>
  <si>
    <t>GIN HENDRICK´S 700ML</t>
  </si>
  <si>
    <t>GIN TANQUERAY 750 ML</t>
  </si>
  <si>
    <t>GIN TANQUERAY 1000 ML</t>
  </si>
  <si>
    <t>GIN TANQUERAY TEN 750 ML</t>
  </si>
  <si>
    <t>CINZANO BIANCO 750 ML</t>
  </si>
  <si>
    <t>CINZANO ROSSO 750ML</t>
  </si>
  <si>
    <t>CINZANO EXTRA DRY 750ML</t>
  </si>
  <si>
    <t>GANCIA DRY 1L</t>
  </si>
  <si>
    <t>GANCIA ROSSO 1L</t>
  </si>
  <si>
    <t>MARTINI BLANCO 750ML</t>
  </si>
  <si>
    <t>MARTINI EXTRA DRY 750ML</t>
  </si>
  <si>
    <t>MARTINI ROSSO 750ML</t>
  </si>
  <si>
    <t>AGUARDIENTE CRISTAL 750ML</t>
  </si>
  <si>
    <t>GUARO CACHACA-51 1000ML</t>
  </si>
  <si>
    <t>GUARO CACIQUE 365ML</t>
  </si>
  <si>
    <t>GUARO CACIQUE 1L</t>
  </si>
  <si>
    <t>GUARO D´PELON 1000ML</t>
  </si>
  <si>
    <t>TAMBORITO GUARO 1000ML</t>
  </si>
  <si>
    <t>BAVARIA GOLD LATA</t>
  </si>
  <si>
    <t xml:space="preserve">BAVARIA GOLD VIDRIO DESECHABLE </t>
  </si>
  <si>
    <t>BAVARIA LIGTH LATA</t>
  </si>
  <si>
    <t>BAVARIA LIGTH VIDRIO DESECHABLE</t>
  </si>
  <si>
    <t>CORONA 330ML VIDRIO</t>
  </si>
  <si>
    <t>DUVEL 330ML VIDRIO</t>
  </si>
  <si>
    <t>HEINEKEN 365ML VIDRIO</t>
  </si>
  <si>
    <t>HOEGAARDEN 330ML VIDRIO</t>
  </si>
  <si>
    <t>IMPERIAL 350ML LATA</t>
  </si>
  <si>
    <t>IMPERIAL 350ML VIDRIO</t>
  </si>
  <si>
    <t>IMPERIAL LIGHT LATA 350ML</t>
  </si>
  <si>
    <t>IMPERIAL LIGHT VIDRIO 355ML</t>
  </si>
  <si>
    <t>IMPERIAL SILVER 350ML LATA</t>
  </si>
  <si>
    <t>IMPERIAL SILVER 350ML VIDRIO</t>
  </si>
  <si>
    <t xml:space="preserve"> LEFFE OSCURA 330ML VIDRIO</t>
  </si>
  <si>
    <t>LEFFE RUBIA 330ML VIDRIO</t>
  </si>
  <si>
    <t>MILLER LITE 355ML VIDRIO</t>
  </si>
  <si>
    <t>MILLER LITE 355ML LATA</t>
  </si>
  <si>
    <t>PILSEN 350ML LATA</t>
  </si>
  <si>
    <t>PILSEN 350ML VIDRIO</t>
  </si>
  <si>
    <t>STELLA ARTOIS 330ML VIDRIO</t>
  </si>
  <si>
    <t>MARLBORO ROJO 1X10</t>
  </si>
  <si>
    <t>MARLBORO LIGHTS 1X10</t>
  </si>
  <si>
    <t>CLAMATO COCKTAIL 946ML</t>
  </si>
  <si>
    <t>CREMA DE COCO LOPEZ 15 OZ LATA</t>
  </si>
  <si>
    <t>JARABE GRANADINA ROJO 1000ML</t>
  </si>
  <si>
    <t>NECTAR PETIT DE PIÑA TETRA 1L</t>
  </si>
  <si>
    <t>MARGARITA MIX JOSE CUERVO 1000 ML</t>
  </si>
  <si>
    <t>MIX MARGARITA MR &amp; MRS 1L</t>
  </si>
  <si>
    <t>MIX BLOODY MARY MR &amp; MRS 1L</t>
  </si>
  <si>
    <t>MIX PIÑA COLADA MR &amp; MRS 1L</t>
  </si>
  <si>
    <t>MIX STRAWBERRY MR &amp; MRS 1L</t>
  </si>
  <si>
    <t>O.S CRANBERRY 3 LITROS</t>
  </si>
  <si>
    <t>O.S CRANBERRY 64 OZ</t>
  </si>
  <si>
    <t>SANGRIA PEÑASOL 1000ML</t>
  </si>
  <si>
    <t>YERVA MATE TARAGUI 500G</t>
  </si>
  <si>
    <t>RED BULL 250ML</t>
  </si>
  <si>
    <t>AGUA ARANCIATA ROSA 330ML</t>
  </si>
  <si>
    <t>AGUA ARANCIATA 330ML</t>
  </si>
  <si>
    <t>AGUA POMPELMO 330ML</t>
  </si>
  <si>
    <t>AGUA LIMONATA 330ML</t>
  </si>
  <si>
    <t>AGUA CRISTAL 600ML TAPA</t>
  </si>
  <si>
    <t>AGUA CRISTAL 1750ML TAPA</t>
  </si>
  <si>
    <t>SAN PELLEGRINO 250ML</t>
  </si>
  <si>
    <t>SAN PELLEGRINO 505ML</t>
  </si>
  <si>
    <t>SAN PELLEGRINO 750ML</t>
  </si>
  <si>
    <t>SAN PELLEGRINO PLÁSTICO 500ML</t>
  </si>
  <si>
    <t xml:space="preserve">FLOR 4 AÑOS 1000ML </t>
  </si>
  <si>
    <t>BOLS SOUR APPLE 1000ML</t>
  </si>
  <si>
    <t>BLUE NUN SPARKLING 750 ML</t>
  </si>
  <si>
    <t xml:space="preserve">CENTENARIO 5 AÑOS 1000ML </t>
  </si>
  <si>
    <t>DRAMBUIE 1000ML</t>
  </si>
  <si>
    <t>BACCOROSA SPUMANTE ZONIN ROSÉ</t>
  </si>
  <si>
    <t>CENTENARIO 7 AÑOS 1000ML</t>
  </si>
  <si>
    <t>COINTREAU 700ML</t>
  </si>
  <si>
    <t>OLD PARR SILVER 750</t>
  </si>
  <si>
    <t>CENTENARIO ORO 750</t>
  </si>
  <si>
    <t>CENTENARIO 4 AÑOS BLANCO 750ML</t>
  </si>
  <si>
    <t>RON RICO AÑEJO CLARO 750ML</t>
  </si>
  <si>
    <t>RON RICO AÑEJO ORO  750ML</t>
  </si>
  <si>
    <t>RON RICO AÑEJO CLARO 375ML</t>
  </si>
  <si>
    <t>RON RICO AÑEJO ORO  375ML</t>
  </si>
  <si>
    <t>FRONTERA MALBEC 750 ML</t>
  </si>
  <si>
    <t>AMARULA 1000ML</t>
  </si>
  <si>
    <t>JOHNNIE W GREEN 750ML</t>
  </si>
  <si>
    <t>TITOS HANDMADE 1000ML</t>
  </si>
  <si>
    <t>SMIRNOFF 200ML</t>
  </si>
  <si>
    <t>BULLEIT BOURBON 750ML</t>
  </si>
  <si>
    <t>VODKA RED 1000ML</t>
  </si>
  <si>
    <t>PISCO CAPEL 1000ML MOAI</t>
  </si>
  <si>
    <t>ST. GERMAIN LIQUEUR 700ML</t>
  </si>
  <si>
    <t>EL SEÑORIO JOVEN 750ML</t>
  </si>
  <si>
    <t>EL SEÑORIO REPOSADO 750ML</t>
  </si>
  <si>
    <t>BENEDICTINE LIQUER 750ML</t>
  </si>
  <si>
    <t>HERRADURA ULTRA 750ML</t>
  </si>
  <si>
    <t>HERRADURA AÑEJO 750ML</t>
  </si>
  <si>
    <t>DOM PERIGNON BLANC 750ML</t>
  </si>
  <si>
    <t>MARTINI RISERVA SPECIALE RUBINO 750ML</t>
  </si>
  <si>
    <t>MARTINI RISERVA SPECIALE AMBRATO 750ML</t>
  </si>
  <si>
    <t>GREY GOOSE 200ML</t>
  </si>
  <si>
    <t>GREY GOOSE 50ML</t>
  </si>
  <si>
    <t>APLETON WHITE 750ML</t>
  </si>
  <si>
    <t>LIMONCINO DEL LAGO 2L</t>
  </si>
  <si>
    <t>MACALLAN 15 YO 700ML</t>
  </si>
  <si>
    <t>CHIANTI CLASSICO DI VALIANO 750ML</t>
  </si>
  <si>
    <t>GRAPPA GAMBAROTTA LIBARNA</t>
  </si>
  <si>
    <t>MANDUS PRIMITIVO DI MANDURIA DOC PIETRA 750ML</t>
  </si>
  <si>
    <t xml:space="preserve">SPUMANTE ELITE BRUT 750ML </t>
  </si>
  <si>
    <t>FEVER TREE GINGER BEER 200ML</t>
  </si>
  <si>
    <t>MARLBORO BLUE ICE 1X10</t>
  </si>
  <si>
    <t>PINOT GRIGIO SANTA MARGHERITA DOC 750ML</t>
  </si>
  <si>
    <t>WOODFORD RSERVE 750ML</t>
  </si>
  <si>
    <t>ABSOLUT 1750ML</t>
  </si>
  <si>
    <t>RON RICO COCONUT 1000ML</t>
  </si>
  <si>
    <t>KAHLUA 750 ML</t>
  </si>
  <si>
    <t>CENTENARIO 5 AÑOS 1750ML</t>
  </si>
  <si>
    <t>CENTENARIO ORO 1000ML</t>
  </si>
  <si>
    <t>GIN BOURNETTS 750ML</t>
  </si>
  <si>
    <t>LAMBRUSCO ROSSO AMABILE CLOMBARA</t>
  </si>
  <si>
    <t>CHARDONNAY DELLE VENEZIE 750ML VENTITERRE</t>
  </si>
  <si>
    <t>PROSECCO ZONIN 750ML</t>
  </si>
  <si>
    <t>FREIXENET CORDON NEGRO BRUT 750ML</t>
  </si>
  <si>
    <t>ALTEMURA NEGROAMARO SALENTO ZONIN 750ML</t>
  </si>
  <si>
    <t>CABOLANI PINOT GRIGIO 750ML</t>
  </si>
  <si>
    <t>COOR`S LIGHT LATA</t>
  </si>
  <si>
    <t>DON JULIO 70 750ML</t>
  </si>
  <si>
    <t>HEINEKEN LATA</t>
  </si>
  <si>
    <t>VALDESPINO 700 ML</t>
  </si>
  <si>
    <t>BULLEIT BOURBON 1L</t>
  </si>
  <si>
    <t>UNDURRAGA CHARDONAY 375ML</t>
  </si>
  <si>
    <t>ZACAPA AMBAR 12 750ML</t>
  </si>
  <si>
    <t>SANGRIA BLANCA PEÑASOL 1000ML</t>
  </si>
  <si>
    <t>MILAGRO SELECT RESPOSADO 750ML</t>
  </si>
  <si>
    <t>CLAN MacGregor 1000ML</t>
  </si>
  <si>
    <t>GIN NORDES 700ML</t>
  </si>
  <si>
    <t>GIN XIBAL 700ML</t>
  </si>
  <si>
    <t>RON SANTA TERESA 1796 700ML</t>
  </si>
  <si>
    <t>CUERVO BLANCO 750ML</t>
  </si>
  <si>
    <t>CUERVO 1800 REPOSADO 750ML</t>
  </si>
  <si>
    <t>AGUARDIENTE ANTIOQUEÑO 750ML</t>
  </si>
  <si>
    <t>CORRALEJO REPOSADO 750ML</t>
  </si>
  <si>
    <t>SOMETHING SPECIAL 360ML</t>
  </si>
  <si>
    <t>ABSOLUT LIME 750ML</t>
  </si>
  <si>
    <t>FLOR DE CAÑA SPRESSO 750ML</t>
  </si>
  <si>
    <t>FIREBALL 750ML</t>
  </si>
  <si>
    <t>GREY GOOSE 1000ML</t>
  </si>
  <si>
    <t>KUYPER BLUEBERRY 700ML</t>
  </si>
  <si>
    <t>MARLBORO TOUCH 1X10</t>
  </si>
  <si>
    <t>BRANDY NAPOLEON MON BIJOU</t>
  </si>
  <si>
    <t>JARABE NATURAL 1000ML</t>
  </si>
  <si>
    <t>PINOT GRIGIO SANTA MARGHERITA 375ML</t>
  </si>
  <si>
    <t>MARSALLA FLLL. FICI 750ML</t>
  </si>
  <si>
    <t>BALLANTINE´S 12AÑOS 750ml</t>
  </si>
  <si>
    <t>EVAN WILLIAMS 750 ML</t>
  </si>
  <si>
    <t>MACALLAN 12YO FINE OAK</t>
  </si>
  <si>
    <t>EARLY TIMES 1000ML</t>
  </si>
  <si>
    <t>BACARDI AÑEJO 980ML</t>
  </si>
  <si>
    <t>OLD PARR 18 750ML</t>
  </si>
  <si>
    <t>RUFFINO PROSECO 750ML</t>
  </si>
  <si>
    <t>SONATA CARMENERE1.5L</t>
  </si>
  <si>
    <t>JAMESON IRISH 750ML</t>
  </si>
  <si>
    <t>JIM BEAM 1000ML</t>
  </si>
  <si>
    <t>MACALLAN 18YO 700</t>
  </si>
  <si>
    <t>FLOR ULTRA LITE 750</t>
  </si>
  <si>
    <t>NIKOLAI 375ML</t>
  </si>
  <si>
    <t>CUERVO REPOSADO 1000 ML</t>
  </si>
  <si>
    <t>CUERVO REPOSADO 750 ML</t>
  </si>
  <si>
    <t>MILAGRO REPOSADO 750 ML</t>
  </si>
  <si>
    <t>GOTAS AMARGAS ANGOSTURA BITTER 200ML</t>
  </si>
  <si>
    <t>FINLANDIA 1000ML</t>
  </si>
  <si>
    <t>GIN TANQUERAY FLOR DE SEVILLA</t>
  </si>
  <si>
    <t>STAR OF BOMBAY 750ML</t>
  </si>
  <si>
    <t>STAR OF BOMBAY 1000ML</t>
  </si>
  <si>
    <t xml:space="preserve">REMY MARTIN V.S.O.P        </t>
  </si>
  <si>
    <t xml:space="preserve">HPNOTIQ 750ML        </t>
  </si>
  <si>
    <t>CORRALEJO BLANCO 750ML</t>
  </si>
  <si>
    <t>CORRALEJO TRIPLE DESTILADO 750ML</t>
  </si>
  <si>
    <t>CORRALEJO AÑEJO 750ML</t>
  </si>
  <si>
    <t xml:space="preserve">PISCO CAPEL 700ML </t>
  </si>
  <si>
    <t>JARANA BLANCO 750ML</t>
  </si>
  <si>
    <t>VODKA STANISLAV 750ML</t>
  </si>
  <si>
    <t>GOTAS AMARGAS ANGOSTURA BITTER 100ML</t>
  </si>
  <si>
    <t>JAGERMEISTER  1000ML</t>
  </si>
  <si>
    <t>CHIVAS REGAL EXTRA 750 ML</t>
  </si>
  <si>
    <t>UNDURRAGA BRUTT 750ML</t>
  </si>
  <si>
    <t xml:space="preserve">     MEZCAL</t>
  </si>
  <si>
    <t>MEZCAL MONTELOBOS 750ML</t>
  </si>
  <si>
    <t>AMARETO GOZIO 700ML</t>
  </si>
  <si>
    <t>LIMONCELLO IL MALLO</t>
  </si>
  <si>
    <t>LIMONCELLO CARAVELLA</t>
  </si>
  <si>
    <t>LIMONCELLO TRES PLUMAS</t>
  </si>
  <si>
    <t>GLENMORANGIE ORIGINAL 10 AÑOS 1000ML</t>
  </si>
  <si>
    <t>CUERVO BLANCO 1000ML</t>
  </si>
  <si>
    <t>JARANA ORO 750ML</t>
  </si>
  <si>
    <t>ZIGNUM REPOSADO 750ML</t>
  </si>
  <si>
    <t>TITOS HANDMANDE 750ML</t>
  </si>
  <si>
    <t>AGUARDIENTE CRISTAL SIN AZUCAR 750ML</t>
  </si>
  <si>
    <t>GIN D ARGENT BLUE 750ML</t>
  </si>
  <si>
    <t>GIN MARE 700ML</t>
  </si>
  <si>
    <t>GIN MARE 1000ML</t>
  </si>
  <si>
    <t>SALICSA AMARETO 1000ML</t>
  </si>
  <si>
    <t>SALICSA TRIPLE SEC 1000ML.</t>
  </si>
  <si>
    <t>SALICSA BLUE CURACAO 1000ML.</t>
  </si>
  <si>
    <t>SALICSA CAFÉ OLE 1000ML</t>
  </si>
  <si>
    <t>GIN THE BOTANIST 700ML</t>
  </si>
  <si>
    <t>WILD TURKEY 101 750ML</t>
  </si>
  <si>
    <t>CRYSTAL HEAD VODKA 750ML</t>
  </si>
  <si>
    <t>GOTAS AMARGAS ANGOSTURA BITTER  COCOA 100ML</t>
  </si>
  <si>
    <t xml:space="preserve">     SANGRIA</t>
  </si>
  <si>
    <t>YERVA MATE TARAGUI 1000G</t>
  </si>
  <si>
    <t>JARANA ORO 250ML</t>
  </si>
  <si>
    <t>GIN TANQUERAY 375 ML</t>
  </si>
  <si>
    <t>BUCHANANS 12 AÑOS 1000ML</t>
  </si>
  <si>
    <t>MAIPO MERLOT 750ML</t>
  </si>
  <si>
    <t xml:space="preserve">      LIMONCELLO</t>
  </si>
  <si>
    <t>TEQUILA CAZADORES BLANCO 750ML</t>
  </si>
  <si>
    <t>CHIVAS REGAL XV 750 ML</t>
  </si>
  <si>
    <t>JIM BEAM BLACK 1000ML</t>
  </si>
  <si>
    <t>BACARDI 10 AÑOS 750ML</t>
  </si>
  <si>
    <t>CENTENARIO 7 AÑOS 375ML</t>
  </si>
  <si>
    <t>CORTEZ ORO 365ML</t>
  </si>
  <si>
    <t>FLOR DE CAÑA COCO 750ML</t>
  </si>
  <si>
    <t>RON BOTRAN XL 1000ML</t>
  </si>
  <si>
    <t>ABUELO AÑEJO 750ML + PACHA</t>
  </si>
  <si>
    <t>SMIRNOFF  INFUSSION PEPINO 750ML</t>
  </si>
  <si>
    <t>TITOS HANDMANDE 1750ML</t>
  </si>
  <si>
    <t>TITOS HANDMADE 50ML</t>
  </si>
  <si>
    <t>TANQUERAY DRY GIN 375 ML</t>
  </si>
  <si>
    <t>TANQUERAY FLOR DE SEVILLA GIN 750ML</t>
  </si>
  <si>
    <t>VODKA CIROC COCONUT 750ML</t>
  </si>
  <si>
    <t>VODKA CIROC RED BERRY 750ML</t>
  </si>
  <si>
    <t>VODKA CIROC PINNEAPLE 750ML</t>
  </si>
  <si>
    <t>MAYORAZGO CRISTALINO 750ML</t>
  </si>
  <si>
    <t>RECUERDO DE OAXACA ABOCADO</t>
  </si>
  <si>
    <t>RECUERDO DE OAXACA JOVEN</t>
  </si>
  <si>
    <t>BOLS AMARETO 1000ML</t>
  </si>
  <si>
    <t>MOET &amp; CHANDON ICE IMPERIAL 750ML</t>
  </si>
  <si>
    <t>WOODBRIDGE MONDAVI CABERNET 750ML</t>
  </si>
  <si>
    <t>WOODBRIDGE MONDAVI CHARDONNAY 750ML</t>
  </si>
  <si>
    <t>TRAPICHE CABERNET RESERVA 750ML</t>
  </si>
  <si>
    <t>TRAPICHE CHARDONAY RESERVA750ML</t>
  </si>
  <si>
    <t>CALVET CLASIC BORDEAUX MERLOT CABERNET 750ML</t>
  </si>
  <si>
    <t>AGUA PERRIER 750ML</t>
  </si>
  <si>
    <t>AGUA LIMONE-MENTA 330ML</t>
  </si>
  <si>
    <t>AGUA CLEMETINA 330ML</t>
  </si>
  <si>
    <t>AGUA MELOGRANO 330ML</t>
  </si>
  <si>
    <t>CHESTERFIEL RED 10U</t>
  </si>
  <si>
    <t xml:space="preserve">GINGER BEER GOYA </t>
  </si>
  <si>
    <t>GANCIA BLANCO 1L</t>
  </si>
  <si>
    <t>MEZCAL MITRE ORIGEN 700ML</t>
  </si>
  <si>
    <t>MEZCAL MITRE JAGUAR 700ML</t>
  </si>
  <si>
    <t>13% IVA</t>
  </si>
  <si>
    <t>PRECIO + IVA</t>
  </si>
  <si>
    <t>CLOS DE PIRQUE SAV/BLANCO 1000ML</t>
  </si>
  <si>
    <t>CLOS DE PIRQUE MELORT 1000ML</t>
  </si>
  <si>
    <t>CLOS DE PIRQUE CARMENERE 1000ML</t>
  </si>
  <si>
    <t>CLOS DE PIRQUE CABERNET/SAV</t>
  </si>
  <si>
    <t xml:space="preserve">PRODUCTOS NUEVOS </t>
  </si>
  <si>
    <t xml:space="preserve">LICOR DE CAFÉ MIRROR LITRO </t>
  </si>
  <si>
    <t>LICOR DE MELOCOTON MIRROR LITRO</t>
  </si>
  <si>
    <t xml:space="preserve">LICOR DE MANZANA MIRROR LITRO </t>
  </si>
  <si>
    <t xml:space="preserve">LICOR DE MELON MIRROR LITRO </t>
  </si>
  <si>
    <t xml:space="preserve">LICOR DE PLATANO MIRROR LITRO </t>
  </si>
  <si>
    <t xml:space="preserve">LICOR DE SANDIA MIRROR LITRO </t>
  </si>
  <si>
    <t xml:space="preserve">AGAVE BLANCO EMISARIO LITRO </t>
  </si>
  <si>
    <t xml:space="preserve">AGAVE ORO EMISARIO LITRO </t>
  </si>
  <si>
    <t xml:space="preserve">BRANDY EMISARIO LITRO </t>
  </si>
  <si>
    <t xml:space="preserve">GINEBRA EMISARIO LITRO </t>
  </si>
  <si>
    <t xml:space="preserve">CREMA LIQUOR OCKALLAN LITRO </t>
  </si>
  <si>
    <t xml:space="preserve">PRECIOS SIN DESCUENTO </t>
  </si>
  <si>
    <t>TEQUILA CASAMIGOS BLANCO 750ML</t>
  </si>
  <si>
    <t>TEQUILA CASAMIGOS REPOSADO 750ML</t>
  </si>
  <si>
    <t>TEQUILA CASAMIGOS AÑEJO 750ML</t>
  </si>
  <si>
    <t>MEZCAL NOSOTROS 750ML</t>
  </si>
  <si>
    <t>TITOS HANDMADE200ML</t>
  </si>
  <si>
    <t>IWAI 750ML</t>
  </si>
  <si>
    <t>JACK DANIEL APPLE 750ML</t>
  </si>
  <si>
    <t>GIN MALFY ORIGINALE 750ML</t>
  </si>
  <si>
    <t>GIN MALFY CON ARANCIA 750ML</t>
  </si>
  <si>
    <t>GIN MALFY CON LIMONE 750ML</t>
  </si>
  <si>
    <t>GIN MALFY ROSA 750ML</t>
  </si>
  <si>
    <t>MEZCAL OJO DE TIGRE 100% 750ML</t>
  </si>
  <si>
    <t>MERRYS IRISH CREAM 700ML</t>
  </si>
  <si>
    <t>MARIE BRIZARD LCOR SAUCO 700ML</t>
  </si>
  <si>
    <t>MEZCAL ESPADIN NOBLE COYOTE 700ML (37%)</t>
  </si>
  <si>
    <t>TEQUILA TOSCO PLATA 100% AGAVE 750ML</t>
  </si>
  <si>
    <t>TEQUILA TOSCO REPOSADO 100% AGAVE 750ML</t>
  </si>
  <si>
    <t>TEQUILA BRIBÓN PLATA 100% AGAVE 750ML</t>
  </si>
  <si>
    <t>TEQUILA BRIBÓN REPOSADO 100% AGAVE 750ML</t>
  </si>
  <si>
    <t xml:space="preserve">TEQUILA LA ARENITA ORO 750ML   </t>
  </si>
  <si>
    <t>TEQUILA LA ARENITA PLATA 750ML</t>
  </si>
  <si>
    <t>BLACK &amp; WHITE 1000 ML</t>
  </si>
  <si>
    <t>BLACK &amp; WHITE 200 ML</t>
  </si>
  <si>
    <t xml:space="preserve">JAGERMEISTER 200ML </t>
  </si>
  <si>
    <t>LIGAO CACIQUE BAHIA SANDIA 1000ML</t>
  </si>
  <si>
    <t>LIGAO CACIQUE PUERTO GUAYABA 1000ML</t>
  </si>
  <si>
    <t>LIGAO CACIQUE RESERVA FRUTAL 1000 ML</t>
  </si>
  <si>
    <t>RED BULL SUGAR FREE 250ML</t>
  </si>
  <si>
    <t>MARLBORO FOREST FUSION 1X10</t>
  </si>
  <si>
    <t>MARLBORO EXOTIC SPLASH MNT 1X10</t>
  </si>
  <si>
    <t xml:space="preserve">CREAM HEROES CAFE 700ML   </t>
  </si>
  <si>
    <t>CROWN ROYAL 750ML</t>
  </si>
  <si>
    <t>JOHNNIE  W BLUE  750 ML</t>
  </si>
  <si>
    <t>JACK DANIEL FIRE 750ML</t>
  </si>
  <si>
    <t>FERNET BRANCA MENTA 750ML</t>
  </si>
  <si>
    <t>TEQUILA NOSOTROS BLANCO 750ML</t>
  </si>
  <si>
    <t>TEQUILA NOSOTROS REPOSADO 750ML</t>
  </si>
  <si>
    <t>HERRADURA BLANCO 50ML</t>
  </si>
  <si>
    <t>TEQUILA NOSOTROS BLANCO 50ML</t>
  </si>
  <si>
    <t>DURIGUTTI ETIQUETA NEGRA BLANC DE BLANCS 750ML</t>
  </si>
  <si>
    <t>DURIGUTTI ETIQUETA NEGRA MALBEC 750ML</t>
  </si>
  <si>
    <t xml:space="preserve">DURIGUTTI RESERVA MALBEC 750ML </t>
  </si>
  <si>
    <t xml:space="preserve">VINO CUARENTA VENDIMIAS TEMPRANILLO TINTO CUATRO RAYAS 750ML                                        </t>
  </si>
  <si>
    <t>VINO ECOLOGICO VEGANO TEMPRANILLO CUATRO RAYAS TINTO 750ML</t>
  </si>
  <si>
    <t>WILD TURKEY ORIGINAL  750ML</t>
  </si>
  <si>
    <t xml:space="preserve">WIL TURKEY HONEY </t>
  </si>
  <si>
    <t>WILD TURKEY  RYE 750ML</t>
  </si>
  <si>
    <t xml:space="preserve">TEQUILA DON RAMON PLATA </t>
  </si>
  <si>
    <t xml:space="preserve">TEQUILA DON RAMON REPOSADO </t>
  </si>
  <si>
    <t xml:space="preserve">TEQUILA DON RAMON AÑEJO </t>
  </si>
  <si>
    <t>MEZCAL GUSANO ROJO 750ML</t>
  </si>
  <si>
    <t>LICOR APEROL 750 ML</t>
  </si>
  <si>
    <t>MARIE BRIZARD CACAO BLANCO</t>
  </si>
  <si>
    <t xml:space="preserve">MARIE BRIZARD MELOCOTON </t>
  </si>
  <si>
    <t xml:space="preserve">LIMONCELLO VECCHIO </t>
  </si>
  <si>
    <t>CALVET BORDEAUX CELEBRATION BRUT</t>
  </si>
  <si>
    <t xml:space="preserve">LAMBRUSCO DOC MODERNA DE MONACI </t>
  </si>
  <si>
    <t xml:space="preserve">CASAMANGONI PROSSECO </t>
  </si>
  <si>
    <t>LAS MORAS MALBEC ORGANICO 750ML</t>
  </si>
  <si>
    <t>SONATA CAB/SAUV 1.5 ML</t>
  </si>
  <si>
    <t xml:space="preserve">RUFFINO LUMINA PINOT GRIGIO </t>
  </si>
  <si>
    <t xml:space="preserve">SANTA CAROLINA BRUT </t>
  </si>
  <si>
    <t xml:space="preserve">FRONTERA ESPUMANTE BRUT </t>
  </si>
  <si>
    <t xml:space="preserve">LAURENT- PERRIER BRUT </t>
  </si>
  <si>
    <t xml:space="preserve">CHANDON EXTRA BRUT </t>
  </si>
  <si>
    <t xml:space="preserve">ESPUMANTE COOKS BRUT </t>
  </si>
  <si>
    <t xml:space="preserve">CALVET CELEBRATION BRUT </t>
  </si>
  <si>
    <t xml:space="preserve">CIPRIANI PROSECCO BRUT </t>
  </si>
  <si>
    <t xml:space="preserve">CIPRIANI ROSE BRUT </t>
  </si>
  <si>
    <t xml:space="preserve">CIPRIANI BELLINI </t>
  </si>
  <si>
    <t xml:space="preserve">BARROCO BRUT </t>
  </si>
  <si>
    <t xml:space="preserve">       ESPUMANTE/ CHAMPAGNE </t>
  </si>
  <si>
    <t xml:space="preserve">MON BASART </t>
  </si>
  <si>
    <t xml:space="preserve">GRAPPA POLI MIRTILLO 500ML </t>
  </si>
  <si>
    <t>FUNDADOR LITRO</t>
  </si>
  <si>
    <t>BRANDY ST REMY 750 ML</t>
  </si>
  <si>
    <t xml:space="preserve">VETERANO OSBORNE 700ML </t>
  </si>
  <si>
    <t>KUYPER BLACKBERRY 700ML</t>
  </si>
  <si>
    <t xml:space="preserve">KUYPER MENTA BLANCA 700ML </t>
  </si>
  <si>
    <t xml:space="preserve">CAMUS XO SUPERIOR </t>
  </si>
  <si>
    <t xml:space="preserve">GIN D ARGENT ROSE 750ML </t>
  </si>
  <si>
    <t xml:space="preserve">GIN GIBSONS 750ML </t>
  </si>
  <si>
    <t xml:space="preserve">GINEBRA MARTIN MILLERS </t>
  </si>
  <si>
    <t xml:space="preserve">GIN BOMBAY DRAMBLE </t>
  </si>
  <si>
    <t xml:space="preserve">COOR' VIDRIO DESECHABLE </t>
  </si>
  <si>
    <t xml:space="preserve">CORONA LATA </t>
  </si>
  <si>
    <t xml:space="preserve">FEVER TREE INDIAN TONIC WATER </t>
  </si>
  <si>
    <t xml:space="preserve">FEVER TREE MEDITERRANEAN </t>
  </si>
  <si>
    <t xml:space="preserve">FEVER TREE NATURAL LIGHT TONIC </t>
  </si>
  <si>
    <t xml:space="preserve">FEVER TREE RASBERRY LIGHT </t>
  </si>
  <si>
    <t xml:space="preserve">FEVER TREE ELDELFLOWER </t>
  </si>
  <si>
    <t xml:space="preserve">HEINEKEN CERO LATA </t>
  </si>
  <si>
    <t>MIX BLOODY MARY LATA 255</t>
  </si>
  <si>
    <t xml:space="preserve">SANGRIA VIÑA MAIPO </t>
  </si>
  <si>
    <t xml:space="preserve">CARMEN FRIDA SAVG BLANCO 750ML </t>
  </si>
  <si>
    <t>CARMEN FRIDA CABERNET 750M ML</t>
  </si>
  <si>
    <t>CARMEN FRIDA CARMENERE 750 ML</t>
  </si>
  <si>
    <t xml:space="preserve">CARMEN FRIDA MERLOT 750 ML  </t>
  </si>
  <si>
    <t xml:space="preserve">VINO PURA VIDA BLANCO </t>
  </si>
  <si>
    <t xml:space="preserve">VINO PURA VIDA TINTO </t>
  </si>
  <si>
    <t xml:space="preserve">MUCHO MAS BLANCO </t>
  </si>
  <si>
    <t xml:space="preserve">MUCHO MAS TINTO </t>
  </si>
  <si>
    <t xml:space="preserve">ROCCA VENTOSA CHARDONAY </t>
  </si>
  <si>
    <t xml:space="preserve">ROCCA VENTOSA MERLOT </t>
  </si>
  <si>
    <t xml:space="preserve">ROCCA VENTOSA PINOT GRIGIO </t>
  </si>
  <si>
    <t xml:space="preserve">EL ENEMIGO CABERNET FRANC </t>
  </si>
  <si>
    <t xml:space="preserve">EL ENEMIGO MALBEC </t>
  </si>
  <si>
    <t xml:space="preserve">EL ENEMIGO BONARDA </t>
  </si>
  <si>
    <t xml:space="preserve">TERRAZAS DE LOS ANDES RESERVA CABERNET </t>
  </si>
  <si>
    <t xml:space="preserve">TERRAZAS DE LOS ANDE SRES  MALBEC </t>
  </si>
  <si>
    <t xml:space="preserve">ZUCCARDI MALBEC SERIE A </t>
  </si>
  <si>
    <t xml:space="preserve">ZUCCARDI CABERNET SERIE A </t>
  </si>
  <si>
    <t xml:space="preserve">ZUCCARDI CHARDONAY SERIE A </t>
  </si>
  <si>
    <t xml:space="preserve">REBEL PINOT NOIR </t>
  </si>
  <si>
    <t xml:space="preserve">VINO TRES MEDALLAS BLANCO </t>
  </si>
  <si>
    <t xml:space="preserve">VINO TRES MEDALLAS CHARDONAY </t>
  </si>
  <si>
    <t xml:space="preserve">VINO TRES MEDALLAS CABERNET </t>
  </si>
  <si>
    <t xml:space="preserve">VINO TRES MEDALLAS MERLOT </t>
  </si>
  <si>
    <t xml:space="preserve">VINO TRES MEDALLAS CARMENERE </t>
  </si>
  <si>
    <t xml:space="preserve">SANTA HELENA DULCE TINTO </t>
  </si>
  <si>
    <t>SANTA HELENA DULCE ROSADO</t>
  </si>
  <si>
    <t xml:space="preserve">SANTA HELENA DULCE BLANCO </t>
  </si>
  <si>
    <t>TRIO CHARDONAY/ PINOT G</t>
  </si>
  <si>
    <t xml:space="preserve">TRIO CAB/SAV/SHIRAZ </t>
  </si>
  <si>
    <t xml:space="preserve">LOS RISCOS CABERNET </t>
  </si>
  <si>
    <t xml:space="preserve">LOS RISCOS MERLOT </t>
  </si>
  <si>
    <t xml:space="preserve">LOS RISCOS BLANCOS </t>
  </si>
  <si>
    <t xml:space="preserve">LOS RISCOS CHARDONAY </t>
  </si>
  <si>
    <t xml:space="preserve">LOS RISCOS ROSADOS </t>
  </si>
  <si>
    <t xml:space="preserve">JAM JAR SWEET BLUSH </t>
  </si>
  <si>
    <t>JAM JAR SWEET RED BLEND</t>
  </si>
  <si>
    <t xml:space="preserve">JAM JAR SWEET SHIRAZ </t>
  </si>
  <si>
    <t xml:space="preserve">JAM JAR SWEET WHITE </t>
  </si>
  <si>
    <t>WENTE CHARLES CABERNET SAUV</t>
  </si>
  <si>
    <t xml:space="preserve">WENTE LOIS MEL BLANCO </t>
  </si>
  <si>
    <t xml:space="preserve">WENTE MORNIG FOG </t>
  </si>
  <si>
    <t xml:space="preserve">VINO TINTO JP CHENET CAB/SHIRAZ </t>
  </si>
  <si>
    <t xml:space="preserve">VINO TINTO JP CHENET MERLOT </t>
  </si>
  <si>
    <t xml:space="preserve">VINO ESPUMOSO CHENET BRUT </t>
  </si>
  <si>
    <t xml:space="preserve">VINO ESPUMOSO CHENET ICE </t>
  </si>
  <si>
    <t xml:space="preserve">LOCATOUR ZINFANDEL </t>
  </si>
  <si>
    <t xml:space="preserve">LOCATOUR RED BLEND </t>
  </si>
  <si>
    <t xml:space="preserve">LOCATOIUR CHARDONNAY </t>
  </si>
  <si>
    <t xml:space="preserve">MOUTO CADET BORDEUX BLANCO </t>
  </si>
  <si>
    <t xml:space="preserve">MOUTO CADET BORDEUX TINTO </t>
  </si>
  <si>
    <t>MAR DE FRADES ALBARIÑO</t>
  </si>
  <si>
    <t>BARON PHILIPE CABERNET SAV</t>
  </si>
  <si>
    <t xml:space="preserve">BARON PHILIPE PINOT NOIR </t>
  </si>
  <si>
    <t xml:space="preserve">BARON PHILIPE MERLOT </t>
  </si>
  <si>
    <t xml:space="preserve">BARON PHILIPE CHARDONAY </t>
  </si>
  <si>
    <t xml:space="preserve">ROBERT MONDAVI MERLOT </t>
  </si>
  <si>
    <t xml:space="preserve">ROBERT MONDAVI PINOT NOIR </t>
  </si>
  <si>
    <t xml:space="preserve">19 CRIMENES CABERNET </t>
  </si>
  <si>
    <t xml:space="preserve">19 CRIMENES PINOTR NOIR </t>
  </si>
  <si>
    <t xml:space="preserve">VINO CONTENDA BLANCO </t>
  </si>
  <si>
    <t xml:space="preserve">VINO CONTENDA CABERNET </t>
  </si>
  <si>
    <t xml:space="preserve">VINO CONTENDA MERLOT </t>
  </si>
  <si>
    <t xml:space="preserve">MATUA PINOT NOIR </t>
  </si>
  <si>
    <t xml:space="preserve">PORTO TAWNY OSBORNE 10 AÑOS 750 M  </t>
  </si>
  <si>
    <t>CROWN ROYAL 1000 ML</t>
  </si>
  <si>
    <t>FIRE MONKEY 750ML</t>
  </si>
  <si>
    <t>LICOR 43 HORCHATA 750ML</t>
  </si>
  <si>
    <t>MEZCAL CURRO JOVEN 750ML</t>
  </si>
  <si>
    <t>LIGAO CACIQUE BAHIA SANDIA PET 365ML</t>
  </si>
  <si>
    <t xml:space="preserve">LIGAO CACIQUE PUERTO GUAYABA 365ML </t>
  </si>
  <si>
    <t>LIGAO CACIQUE RESERVA FRUTAL 365ML</t>
  </si>
  <si>
    <t xml:space="preserve">JUGO DE NARANJA 2.2 L BOTELLA  DOS PINOS    </t>
  </si>
  <si>
    <t>CUERVO 1800 CRISTALINO 700ML</t>
  </si>
  <si>
    <t>AGUARDIENTE AMARILLO DE MANZANARES SIN AZUCAR 750ML</t>
  </si>
  <si>
    <t>AGUARDIENTE AMARILLO DE MANZANARES SIN AZUCAR 375ML</t>
  </si>
  <si>
    <t>LIGAO CACIQUE  PONCHE DE FRUTAS 1000ML</t>
  </si>
  <si>
    <t>LIGAO CACIQUE ROSA DE JAMAICA  1000ML</t>
  </si>
  <si>
    <t xml:space="preserve">TEQUILA GRAN MALO HORCHATA 750ML  </t>
  </si>
  <si>
    <t xml:space="preserve">TEQUILA GRAN MALO TAMARINDO 750ML   </t>
  </si>
  <si>
    <t>PROSECCO ZONIN 200 ML</t>
  </si>
  <si>
    <t>CHESTERFIEL BLUE 10U</t>
  </si>
  <si>
    <t>FANAL ANIS IMPERIAL 365ML</t>
  </si>
  <si>
    <t>GOTAS AMARGAS ROSSARD 155ML</t>
  </si>
  <si>
    <t>LA GRAPPA TIPICA 903</t>
  </si>
  <si>
    <t xml:space="preserve">PATA NEGRA RIOJA TEMPRANILLO SELECCIÓN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</si>
</sst>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MS Sans Serif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left" vertical="top"/>
    </xf>
    <xf numFmtId="0" fontId="1" fillId="2" borderId="0" xfId="0" applyFont="1" applyFill="1"/>
    <xf numFmtId="0" fontId="1" fillId="0" borderId="4" xfId="0" applyFont="1" applyBorder="1" applyAlignment="1">
      <alignment horizontal="left" vertical="top"/>
    </xf>
    <xf numFmtId="0" fontId="1" fillId="2" borderId="5" xfId="0" applyFont="1" applyFill="1" applyBorder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top"/>
    </xf>
    <xf numFmtId="4" fontId="1" fillId="0" borderId="6" xfId="0" applyNumberFormat="1" applyFont="1" applyBorder="1" applyAlignment="1">
      <alignment horizontal="right" vertical="center"/>
    </xf>
    <xf numFmtId="0" fontId="1" fillId="0" borderId="6" xfId="0" applyFont="1" applyBorder="1"/>
    <xf numFmtId="4" fontId="1" fillId="0" borderId="6" xfId="0" applyNumberFormat="1" applyFont="1" applyBorder="1"/>
    <xf numFmtId="0" fontId="1" fillId="0" borderId="6" xfId="0" applyFont="1" applyBorder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4" fontId="1" fillId="0" borderId="0" xfId="0" applyNumberFormat="1" applyFont="1"/>
    <xf numFmtId="0" fontId="1" fillId="0" borderId="6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>
      <alignment horizontal="left" vertical="top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top"/>
    </xf>
    <xf numFmtId="0" fontId="1" fillId="4" borderId="6" xfId="0" applyFont="1" applyFill="1" applyBorder="1" applyAlignment="1">
      <alignment horizontal="left" vertical="top"/>
    </xf>
    <xf numFmtId="0" fontId="1" fillId="4" borderId="0" xfId="0" applyFont="1" applyFill="1" applyAlignment="1" applyProtection="1">
      <alignment horizontal="left" vertical="top"/>
      <protection locked="0"/>
    </xf>
    <xf numFmtId="0" fontId="1" fillId="4" borderId="0" xfId="0" applyFont="1" applyFill="1"/>
    <xf numFmtId="0" fontId="1" fillId="4" borderId="1" xfId="0" applyFont="1" applyFill="1" applyBorder="1" applyAlignment="1">
      <alignment horizontal="left" vertical="top"/>
    </xf>
    <xf numFmtId="9" fontId="1" fillId="4" borderId="2" xfId="0" applyNumberFormat="1" applyFont="1" applyFill="1" applyBorder="1"/>
    <xf numFmtId="0" fontId="1" fillId="5" borderId="6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" fontId="1" fillId="7" borderId="6" xfId="0" applyNumberFormat="1" applyFont="1" applyFill="1" applyBorder="1" applyAlignment="1">
      <alignment horizontal="right" vertical="center"/>
    </xf>
    <xf numFmtId="0" fontId="1" fillId="6" borderId="7" xfId="0" applyFont="1" applyFill="1" applyBorder="1"/>
    <xf numFmtId="0" fontId="1" fillId="0" borderId="7" xfId="0" applyFont="1" applyBorder="1"/>
    <xf numFmtId="4" fontId="1" fillId="6" borderId="7" xfId="0" applyNumberFormat="1" applyFont="1" applyFill="1" applyBorder="1" applyAlignment="1">
      <alignment horizontal="right" vertical="center"/>
    </xf>
    <xf numFmtId="0" fontId="1" fillId="4" borderId="7" xfId="0" applyFont="1" applyFill="1" applyBorder="1"/>
    <xf numFmtId="4" fontId="1" fillId="4" borderId="7" xfId="0" applyNumberFormat="1" applyFont="1" applyFill="1" applyBorder="1" applyAlignment="1">
      <alignment horizontal="right" vertical="center"/>
    </xf>
    <xf numFmtId="0" fontId="1" fillId="5" borderId="7" xfId="0" applyFont="1" applyFill="1" applyBorder="1"/>
    <xf numFmtId="0" fontId="1" fillId="2" borderId="7" xfId="0" applyFont="1" applyFill="1" applyBorder="1"/>
    <xf numFmtId="4" fontId="1" fillId="0" borderId="7" xfId="0" applyNumberFormat="1" applyFont="1" applyBorder="1" applyAlignment="1">
      <alignment horizontal="right" vertical="center"/>
    </xf>
    <xf numFmtId="4" fontId="1" fillId="7" borderId="6" xfId="0" applyNumberFormat="1" applyFont="1" applyFill="1" applyBorder="1" applyAlignment="1">
      <alignment vertical="center"/>
    </xf>
    <xf numFmtId="4" fontId="3" fillId="7" borderId="6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" fontId="1" fillId="8" borderId="6" xfId="0" applyNumberFormat="1" applyFont="1" applyFill="1" applyBorder="1"/>
    <xf numFmtId="4" fontId="1" fillId="8" borderId="6" xfId="0" applyNumberFormat="1" applyFont="1" applyFill="1" applyBorder="1" applyAlignment="1">
      <alignment horizontal="center"/>
    </xf>
    <xf numFmtId="0" fontId="1" fillId="8" borderId="6" xfId="0" applyFont="1" applyFill="1" applyBorder="1"/>
    <xf numFmtId="0" fontId="1" fillId="7" borderId="6" xfId="0" applyFont="1" applyFill="1" applyBorder="1"/>
    <xf numFmtId="0" fontId="1" fillId="9" borderId="6" xfId="0" applyFont="1" applyFill="1" applyBorder="1" applyAlignment="1">
      <alignment horizontal="left" vertical="top"/>
    </xf>
    <xf numFmtId="0" fontId="1" fillId="10" borderId="0" xfId="0" applyFont="1" applyFill="1"/>
    <xf numFmtId="0" fontId="1" fillId="2" borderId="6" xfId="0" applyFont="1" applyFill="1" applyBorder="1" applyAlignment="1">
      <alignment horizontal="left" vertical="top"/>
    </xf>
    <xf numFmtId="4" fontId="1" fillId="2" borderId="6" xfId="0" applyNumberFormat="1" applyFont="1" applyFill="1" applyBorder="1" applyAlignment="1">
      <alignment horizontal="right" vertical="center"/>
    </xf>
    <xf numFmtId="4" fontId="1" fillId="7" borderId="6" xfId="0" applyNumberFormat="1" applyFont="1" applyFill="1" applyBorder="1"/>
    <xf numFmtId="3" fontId="1" fillId="8" borderId="6" xfId="0" applyNumberFormat="1" applyFont="1" applyFill="1" applyBorder="1"/>
    <xf numFmtId="0" fontId="1" fillId="7" borderId="8" xfId="0" applyFont="1" applyFill="1" applyBorder="1"/>
    <xf numFmtId="0" fontId="1" fillId="2" borderId="6" xfId="0" applyFont="1" applyFill="1" applyBorder="1"/>
    <xf numFmtId="4" fontId="1" fillId="2" borderId="6" xfId="0" applyNumberFormat="1" applyFont="1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2" fontId="1" fillId="7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485777</xdr:colOff>
      <xdr:row>0</xdr:row>
      <xdr:rowOff>85725</xdr:rowOff>
    </xdr:from>
    <xdr:to>
      <xdr:col>2</xdr:col>
      <xdr:colOff>1645564</xdr:colOff>
      <xdr:row>6</xdr:row>
      <xdr:rowOff>85725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257" r="72831" b="61625"/>
        <a:stretch/>
      </xdr:blipFill>
      <xdr:spPr>
        <a:xfrm>
          <a:off x="590552" y="85725"/>
          <a:ext cx="1159787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64"/>
  <sheetViews>
    <sheetView tabSelected="1" topLeftCell="B1" zoomScaleNormal="100" workbookViewId="0">
      <selection activeCell="I851" sqref="I851"/>
    </sheetView>
  </sheetViews>
  <sheetFormatPr baseColWidth="10" defaultColWidth="11.42578125" defaultRowHeight="12" x14ac:dyDescent="0.2"/>
  <cols>
    <col min="1" max="1" width="0" style="1" hidden="1" customWidth="1"/>
    <col min="2" max="2" width="1.5703125" style="1" customWidth="1"/>
    <col min="3" max="3" width="72.7109375" style="20" bestFit="1" customWidth="1"/>
    <col min="4" max="4" width="14.85546875" style="1" bestFit="1" customWidth="1"/>
    <col min="5" max="5" width="16.28515625" style="1" customWidth="1"/>
    <col min="6" max="6" width="12" style="1" hidden="1" customWidth="1"/>
    <col min="7" max="7" width="11.42578125" style="1"/>
    <col min="8" max="8" width="11.42578125" style="1" customWidth="1"/>
    <col min="9" max="10" width="11.42578125" style="1"/>
    <col min="11" max="11" width="11.42578125" style="1" customWidth="1"/>
    <col min="12" max="16384" width="11.42578125" style="1"/>
  </cols>
  <sheetData>
    <row r="1" spans="3:7" ht="12.75" customHeight="1" x14ac:dyDescent="0.2">
      <c r="C1" s="2"/>
      <c r="D1" s="28"/>
      <c r="E1" s="28"/>
      <c r="F1" s="3"/>
    </row>
    <row r="2" spans="3:7" ht="12.75" customHeight="1" x14ac:dyDescent="0.2">
      <c r="C2" s="4"/>
      <c r="D2" s="29"/>
      <c r="E2" s="30"/>
      <c r="F2" s="5"/>
    </row>
    <row r="3" spans="3:7" ht="12.75" customHeight="1" x14ac:dyDescent="0.2">
      <c r="C3" s="60" t="s">
        <v>0</v>
      </c>
      <c r="D3" s="61"/>
      <c r="E3" s="61"/>
      <c r="F3" s="61"/>
    </row>
    <row r="4" spans="3:7" ht="12.75" customHeight="1" x14ac:dyDescent="0.2">
      <c r="C4" s="60" t="s">
        <v>24</v>
      </c>
      <c r="D4" s="61"/>
      <c r="E4" s="61"/>
      <c r="F4" s="61"/>
    </row>
    <row r="5" spans="3:7" ht="12.75" customHeight="1" x14ac:dyDescent="0.2">
      <c r="C5" s="60" t="s">
        <v>23</v>
      </c>
      <c r="D5" s="61"/>
      <c r="E5" s="61"/>
      <c r="F5" s="61"/>
    </row>
    <row r="6" spans="3:7" ht="12.75" customHeight="1" x14ac:dyDescent="0.2">
      <c r="C6" s="60" t="s">
        <v>19</v>
      </c>
      <c r="D6" s="61"/>
      <c r="E6" s="61"/>
      <c r="F6" s="61"/>
    </row>
    <row r="7" spans="3:7" ht="12.75" customHeight="1" x14ac:dyDescent="0.2">
      <c r="C7" s="4"/>
      <c r="D7" s="27"/>
      <c r="E7" s="30"/>
      <c r="F7" s="5"/>
    </row>
    <row r="8" spans="3:7" ht="12.75" customHeight="1" x14ac:dyDescent="0.2">
      <c r="C8" s="4"/>
      <c r="D8" s="30"/>
      <c r="E8" s="30"/>
      <c r="F8" s="5"/>
    </row>
    <row r="9" spans="3:7" ht="12.75" customHeight="1" thickBot="1" x14ac:dyDescent="0.25">
      <c r="C9" s="6"/>
      <c r="D9" s="31"/>
      <c r="E9" s="32"/>
      <c r="F9" s="7"/>
    </row>
    <row r="10" spans="3:7" x14ac:dyDescent="0.2">
      <c r="C10" s="8"/>
      <c r="D10" s="9"/>
      <c r="E10" s="27"/>
    </row>
    <row r="11" spans="3:7" ht="12.75" thickBot="1" x14ac:dyDescent="0.25">
      <c r="C11" s="22" t="s">
        <v>1</v>
      </c>
      <c r="D11" s="9"/>
      <c r="E11" s="27"/>
      <c r="F11" s="23"/>
    </row>
    <row r="12" spans="3:7" x14ac:dyDescent="0.2">
      <c r="C12" s="24" t="s">
        <v>2</v>
      </c>
      <c r="D12" s="46" t="s">
        <v>3</v>
      </c>
      <c r="E12" s="33" t="s">
        <v>641</v>
      </c>
      <c r="F12" s="25">
        <v>0.1</v>
      </c>
      <c r="G12" s="12" t="s">
        <v>642</v>
      </c>
    </row>
    <row r="13" spans="3:7" x14ac:dyDescent="0.2">
      <c r="C13" s="10" t="s">
        <v>26</v>
      </c>
      <c r="D13" s="34">
        <v>17050</v>
      </c>
      <c r="E13" s="11">
        <f>+D13*13%</f>
        <v>2216.5</v>
      </c>
      <c r="F13" s="35">
        <f t="shared" ref="F13:F44" si="0">+E13*$F$12</f>
        <v>221.65</v>
      </c>
      <c r="G13" s="47">
        <f>+D13+E13</f>
        <v>19266.5</v>
      </c>
    </row>
    <row r="14" spans="3:7" x14ac:dyDescent="0.2">
      <c r="C14" s="10" t="s">
        <v>542</v>
      </c>
      <c r="D14" s="34">
        <v>21681</v>
      </c>
      <c r="E14" s="11">
        <f>+D14*13%</f>
        <v>2818.53</v>
      </c>
      <c r="F14" s="35">
        <f t="shared" si="0"/>
        <v>281.85300000000001</v>
      </c>
      <c r="G14" s="47">
        <f>+D14+E14</f>
        <v>24499.53</v>
      </c>
    </row>
    <row r="15" spans="3:7" x14ac:dyDescent="0.2">
      <c r="C15" s="10" t="s">
        <v>27</v>
      </c>
      <c r="D15" s="34">
        <v>18200</v>
      </c>
      <c r="E15" s="11">
        <f>+D15*13%</f>
        <v>2366</v>
      </c>
      <c r="F15" s="35">
        <f t="shared" si="0"/>
        <v>236.60000000000002</v>
      </c>
      <c r="G15" s="47">
        <f>+D15+E15</f>
        <v>20566</v>
      </c>
    </row>
    <row r="16" spans="3:7" x14ac:dyDescent="0.2">
      <c r="C16" s="10" t="s">
        <v>602</v>
      </c>
      <c r="D16" s="34">
        <v>23895</v>
      </c>
      <c r="E16" s="11">
        <f t="shared" ref="E16:E75" si="1">+D16*13%</f>
        <v>3106.35</v>
      </c>
      <c r="F16" s="35"/>
      <c r="G16" s="47">
        <f t="shared" ref="G16:G75" si="2">+D16+E16</f>
        <v>27001.35</v>
      </c>
    </row>
    <row r="17" spans="3:7" x14ac:dyDescent="0.2">
      <c r="C17" s="10" t="s">
        <v>28</v>
      </c>
      <c r="D17" s="34">
        <v>53535</v>
      </c>
      <c r="E17" s="11">
        <f t="shared" si="1"/>
        <v>6959.55</v>
      </c>
      <c r="F17" s="36">
        <f t="shared" si="0"/>
        <v>695.95500000000004</v>
      </c>
      <c r="G17" s="47">
        <f t="shared" si="2"/>
        <v>60494.55</v>
      </c>
    </row>
    <row r="18" spans="3:7" x14ac:dyDescent="0.2">
      <c r="C18" s="10" t="s">
        <v>477</v>
      </c>
      <c r="D18" s="34">
        <v>26920</v>
      </c>
      <c r="E18" s="11">
        <f>+D18*13%</f>
        <v>3499.6</v>
      </c>
      <c r="F18" s="35">
        <f t="shared" ref="F18" si="3">+E18*$F$12</f>
        <v>349.96000000000004</v>
      </c>
      <c r="G18" s="47">
        <f>+D18+E18</f>
        <v>30419.599999999999</v>
      </c>
    </row>
    <row r="19" spans="3:7" x14ac:dyDescent="0.2">
      <c r="C19" s="10" t="s">
        <v>518</v>
      </c>
      <c r="D19" s="43">
        <v>33610</v>
      </c>
      <c r="E19" s="11">
        <f>+D19*13%</f>
        <v>4369.3</v>
      </c>
      <c r="F19" s="35">
        <f t="shared" si="0"/>
        <v>436.93000000000006</v>
      </c>
      <c r="G19" s="47">
        <f>+D19+E19</f>
        <v>37979.300000000003</v>
      </c>
    </row>
    <row r="20" spans="3:7" x14ac:dyDescent="0.2">
      <c r="C20" s="10" t="s">
        <v>682</v>
      </c>
      <c r="D20" s="43">
        <v>2495</v>
      </c>
      <c r="E20" s="11">
        <f>+D20*13%</f>
        <v>324.35000000000002</v>
      </c>
      <c r="F20" s="35">
        <f t="shared" si="0"/>
        <v>32.435000000000002</v>
      </c>
      <c r="G20" s="47">
        <f>+D20+E20</f>
        <v>2819.35</v>
      </c>
    </row>
    <row r="21" spans="3:7" x14ac:dyDescent="0.2">
      <c r="C21" s="10" t="s">
        <v>29</v>
      </c>
      <c r="D21" s="34">
        <v>6637</v>
      </c>
      <c r="E21" s="11">
        <f t="shared" si="1"/>
        <v>862.81000000000006</v>
      </c>
      <c r="F21" s="35">
        <f t="shared" si="0"/>
        <v>86.281000000000006</v>
      </c>
      <c r="G21" s="47">
        <f t="shared" si="2"/>
        <v>7499.81</v>
      </c>
    </row>
    <row r="22" spans="3:7" x14ac:dyDescent="0.2">
      <c r="C22" s="10" t="s">
        <v>681</v>
      </c>
      <c r="D22" s="34">
        <v>9250</v>
      </c>
      <c r="E22" s="11">
        <f t="shared" si="1"/>
        <v>1202.5</v>
      </c>
      <c r="F22" s="35">
        <f t="shared" si="0"/>
        <v>120.25</v>
      </c>
      <c r="G22" s="47">
        <f t="shared" si="2"/>
        <v>10452.5</v>
      </c>
    </row>
    <row r="23" spans="3:7" x14ac:dyDescent="0.2">
      <c r="C23" s="10" t="s">
        <v>523</v>
      </c>
      <c r="D23" s="34">
        <v>7575</v>
      </c>
      <c r="E23" s="11">
        <f t="shared" si="1"/>
        <v>984.75</v>
      </c>
      <c r="F23" s="35">
        <f t="shared" si="0"/>
        <v>98.475000000000009</v>
      </c>
      <c r="G23" s="47">
        <f t="shared" si="2"/>
        <v>8559.75</v>
      </c>
    </row>
    <row r="24" spans="3:7" x14ac:dyDescent="0.2">
      <c r="C24" s="10" t="s">
        <v>30</v>
      </c>
      <c r="D24" s="34">
        <v>11295</v>
      </c>
      <c r="E24" s="11">
        <f t="shared" si="1"/>
        <v>1468.3500000000001</v>
      </c>
      <c r="F24" s="35">
        <f t="shared" si="0"/>
        <v>146.83500000000001</v>
      </c>
      <c r="G24" s="47">
        <f t="shared" si="2"/>
        <v>12763.35</v>
      </c>
    </row>
    <row r="25" spans="3:7" x14ac:dyDescent="0.2">
      <c r="C25" s="10" t="s">
        <v>31</v>
      </c>
      <c r="D25" s="34">
        <v>22115</v>
      </c>
      <c r="E25" s="11">
        <f t="shared" si="1"/>
        <v>2874.9500000000003</v>
      </c>
      <c r="F25" s="35">
        <f t="shared" si="0"/>
        <v>287.49500000000006</v>
      </c>
      <c r="G25" s="47">
        <f t="shared" si="2"/>
        <v>24989.95</v>
      </c>
    </row>
    <row r="26" spans="3:7" x14ac:dyDescent="0.2">
      <c r="C26" s="10" t="s">
        <v>32</v>
      </c>
      <c r="D26" s="34">
        <v>28430</v>
      </c>
      <c r="E26" s="11">
        <f t="shared" si="1"/>
        <v>3695.9</v>
      </c>
      <c r="F26" s="35">
        <f t="shared" si="0"/>
        <v>369.59000000000003</v>
      </c>
      <c r="G26" s="47">
        <f t="shared" si="2"/>
        <v>32125.9</v>
      </c>
    </row>
    <row r="27" spans="3:7" x14ac:dyDescent="0.2">
      <c r="C27" s="10" t="s">
        <v>33</v>
      </c>
      <c r="D27" s="34">
        <v>44500</v>
      </c>
      <c r="E27" s="11">
        <f t="shared" si="1"/>
        <v>5785</v>
      </c>
      <c r="F27" s="35">
        <f t="shared" si="0"/>
        <v>578.5</v>
      </c>
      <c r="G27" s="47">
        <f t="shared" si="2"/>
        <v>50285</v>
      </c>
    </row>
    <row r="28" spans="3:7" x14ac:dyDescent="0.2">
      <c r="C28" s="10" t="s">
        <v>573</v>
      </c>
      <c r="D28" s="34">
        <v>29025</v>
      </c>
      <c r="E28" s="11">
        <f t="shared" si="1"/>
        <v>3773.25</v>
      </c>
      <c r="F28" s="35"/>
      <c r="G28" s="47">
        <f t="shared" si="2"/>
        <v>32798.25</v>
      </c>
    </row>
    <row r="29" spans="3:7" x14ac:dyDescent="0.2">
      <c r="C29" s="10" t="s">
        <v>606</v>
      </c>
      <c r="D29" s="34">
        <v>39525</v>
      </c>
      <c r="E29" s="11">
        <f t="shared" si="1"/>
        <v>5138.25</v>
      </c>
      <c r="F29" s="35"/>
      <c r="G29" s="47">
        <f t="shared" si="2"/>
        <v>44663.25</v>
      </c>
    </row>
    <row r="30" spans="3:7" x14ac:dyDescent="0.2">
      <c r="C30" s="10" t="s">
        <v>34</v>
      </c>
      <c r="D30" s="43">
        <v>8765</v>
      </c>
      <c r="E30" s="11">
        <f t="shared" si="1"/>
        <v>1139.45</v>
      </c>
      <c r="F30" s="35">
        <f t="shared" si="0"/>
        <v>113.94500000000001</v>
      </c>
      <c r="G30" s="47">
        <f t="shared" si="2"/>
        <v>9904.4500000000007</v>
      </c>
    </row>
    <row r="31" spans="3:7" x14ac:dyDescent="0.2">
      <c r="C31" s="10" t="s">
        <v>35</v>
      </c>
      <c r="D31" s="43">
        <v>2125</v>
      </c>
      <c r="E31" s="11">
        <f t="shared" si="1"/>
        <v>276.25</v>
      </c>
      <c r="F31" s="35">
        <f t="shared" si="0"/>
        <v>27.625</v>
      </c>
      <c r="G31" s="47">
        <f t="shared" si="2"/>
        <v>2401.25</v>
      </c>
    </row>
    <row r="32" spans="3:7" x14ac:dyDescent="0.2">
      <c r="C32" s="10" t="s">
        <v>691</v>
      </c>
      <c r="D32" s="43">
        <v>17600</v>
      </c>
      <c r="E32" s="11">
        <f>+D32*13%</f>
        <v>2288</v>
      </c>
      <c r="F32" s="35">
        <f t="shared" si="0"/>
        <v>228.8</v>
      </c>
      <c r="G32" s="47">
        <f t="shared" si="2"/>
        <v>19888</v>
      </c>
    </row>
    <row r="33" spans="3:7" x14ac:dyDescent="0.2">
      <c r="C33" s="10" t="s">
        <v>819</v>
      </c>
      <c r="D33" s="43">
        <v>23810</v>
      </c>
      <c r="E33" s="11">
        <f>+D33*13%</f>
        <v>3095.3</v>
      </c>
      <c r="F33" s="35"/>
      <c r="G33" s="47">
        <f t="shared" si="2"/>
        <v>26905.3</v>
      </c>
    </row>
    <row r="34" spans="3:7" x14ac:dyDescent="0.2">
      <c r="C34" s="10" t="s">
        <v>36</v>
      </c>
      <c r="D34" s="34">
        <v>11800</v>
      </c>
      <c r="E34" s="11">
        <f>+D34*13%</f>
        <v>1534</v>
      </c>
      <c r="F34" s="37">
        <v>13050</v>
      </c>
      <c r="G34" s="47">
        <f>+D34+E34</f>
        <v>13334</v>
      </c>
    </row>
    <row r="35" spans="3:7" x14ac:dyDescent="0.2">
      <c r="C35" s="10" t="s">
        <v>37</v>
      </c>
      <c r="D35" s="43">
        <v>29225</v>
      </c>
      <c r="E35" s="11">
        <f>+D35*13%</f>
        <v>3799.25</v>
      </c>
      <c r="F35" s="35">
        <f t="shared" si="0"/>
        <v>379.92500000000001</v>
      </c>
      <c r="G35" s="47">
        <f>+D35+E35</f>
        <v>33024.25</v>
      </c>
    </row>
    <row r="36" spans="3:7" x14ac:dyDescent="0.2">
      <c r="C36" s="10" t="s">
        <v>38</v>
      </c>
      <c r="D36" s="34">
        <v>47080</v>
      </c>
      <c r="E36" s="11">
        <f t="shared" si="1"/>
        <v>6120.4000000000005</v>
      </c>
      <c r="F36" s="37">
        <v>53200</v>
      </c>
      <c r="G36" s="47">
        <f t="shared" si="2"/>
        <v>53200.4</v>
      </c>
    </row>
    <row r="37" spans="3:7" x14ac:dyDescent="0.2">
      <c r="C37" s="10" t="s">
        <v>545</v>
      </c>
      <c r="D37" s="43">
        <v>16415</v>
      </c>
      <c r="E37" s="11">
        <f t="shared" si="1"/>
        <v>2133.9500000000003</v>
      </c>
      <c r="F37" s="35">
        <f t="shared" si="0"/>
        <v>213.39500000000004</v>
      </c>
      <c r="G37" s="47">
        <f t="shared" si="2"/>
        <v>18548.95</v>
      </c>
    </row>
    <row r="38" spans="3:7" x14ac:dyDescent="0.2">
      <c r="C38" s="10" t="s">
        <v>39</v>
      </c>
      <c r="D38" s="43">
        <v>12300</v>
      </c>
      <c r="E38" s="11">
        <f t="shared" si="1"/>
        <v>1599</v>
      </c>
      <c r="F38" s="35">
        <f t="shared" si="0"/>
        <v>159.9</v>
      </c>
      <c r="G38" s="47">
        <f t="shared" si="2"/>
        <v>13899</v>
      </c>
    </row>
    <row r="39" spans="3:7" x14ac:dyDescent="0.2">
      <c r="C39" s="10" t="s">
        <v>543</v>
      </c>
      <c r="D39" s="34">
        <v>16930</v>
      </c>
      <c r="E39" s="11">
        <f t="shared" si="1"/>
        <v>2200.9</v>
      </c>
      <c r="F39" s="35">
        <f t="shared" si="0"/>
        <v>220.09000000000003</v>
      </c>
      <c r="G39" s="47">
        <f t="shared" si="2"/>
        <v>19130.900000000001</v>
      </c>
    </row>
    <row r="40" spans="3:7" x14ac:dyDescent="0.2">
      <c r="C40" s="10" t="s">
        <v>40</v>
      </c>
      <c r="D40" s="34">
        <v>17300</v>
      </c>
      <c r="E40" s="11">
        <f t="shared" si="1"/>
        <v>2249</v>
      </c>
      <c r="F40" s="35">
        <f t="shared" si="0"/>
        <v>224.9</v>
      </c>
      <c r="G40" s="47">
        <f t="shared" si="2"/>
        <v>19549</v>
      </c>
    </row>
    <row r="41" spans="3:7" x14ac:dyDescent="0.2">
      <c r="C41" s="10" t="s">
        <v>534</v>
      </c>
      <c r="D41" s="34">
        <v>14400</v>
      </c>
      <c r="E41" s="11">
        <f t="shared" si="1"/>
        <v>1872</v>
      </c>
      <c r="F41" s="35">
        <f t="shared" ref="F41" si="4">+E41*$F$12</f>
        <v>187.20000000000002</v>
      </c>
      <c r="G41" s="47">
        <f t="shared" si="2"/>
        <v>16272</v>
      </c>
    </row>
    <row r="42" spans="3:7" x14ac:dyDescent="0.2">
      <c r="C42" s="10" t="s">
        <v>41</v>
      </c>
      <c r="D42" s="34">
        <v>33985</v>
      </c>
      <c r="E42" s="11">
        <f t="shared" si="1"/>
        <v>4418.05</v>
      </c>
      <c r="F42" s="35">
        <f t="shared" si="0"/>
        <v>441.80500000000006</v>
      </c>
      <c r="G42" s="47">
        <f t="shared" si="2"/>
        <v>38403.050000000003</v>
      </c>
    </row>
    <row r="43" spans="3:7" x14ac:dyDescent="0.2">
      <c r="C43" s="10" t="s">
        <v>42</v>
      </c>
      <c r="D43" s="34">
        <v>34375</v>
      </c>
      <c r="E43" s="11">
        <f t="shared" si="1"/>
        <v>4468.75</v>
      </c>
      <c r="F43" s="35">
        <f t="shared" si="0"/>
        <v>446.875</v>
      </c>
      <c r="G43" s="47">
        <f t="shared" si="2"/>
        <v>38843.75</v>
      </c>
    </row>
    <row r="44" spans="3:7" x14ac:dyDescent="0.2">
      <c r="C44" s="10" t="s">
        <v>43</v>
      </c>
      <c r="D44" s="34">
        <v>41100</v>
      </c>
      <c r="E44" s="11">
        <f t="shared" si="1"/>
        <v>5343</v>
      </c>
      <c r="F44" s="35">
        <f t="shared" si="0"/>
        <v>534.30000000000007</v>
      </c>
      <c r="G44" s="47">
        <f t="shared" si="2"/>
        <v>46443</v>
      </c>
    </row>
    <row r="45" spans="3:7" x14ac:dyDescent="0.2">
      <c r="C45" s="10" t="s">
        <v>44</v>
      </c>
      <c r="D45" s="34">
        <v>49615</v>
      </c>
      <c r="E45" s="11">
        <f t="shared" si="1"/>
        <v>6449.95</v>
      </c>
      <c r="F45" s="35">
        <f t="shared" ref="F45:F70" si="5">+E45*$F$12</f>
        <v>644.995</v>
      </c>
      <c r="G45" s="47">
        <f t="shared" si="2"/>
        <v>56064.95</v>
      </c>
    </row>
    <row r="46" spans="3:7" x14ac:dyDescent="0.2">
      <c r="C46" s="10" t="s">
        <v>45</v>
      </c>
      <c r="D46" s="34">
        <v>78200</v>
      </c>
      <c r="E46" s="11">
        <f t="shared" si="1"/>
        <v>10166</v>
      </c>
      <c r="F46" s="35">
        <f t="shared" si="5"/>
        <v>1016.6</v>
      </c>
      <c r="G46" s="47">
        <f t="shared" si="2"/>
        <v>88366</v>
      </c>
    </row>
    <row r="47" spans="3:7" x14ac:dyDescent="0.2">
      <c r="C47" s="10" t="s">
        <v>581</v>
      </c>
      <c r="D47" s="34">
        <v>47500</v>
      </c>
      <c r="E47" s="11">
        <f t="shared" si="1"/>
        <v>6175</v>
      </c>
      <c r="F47" s="35"/>
      <c r="G47" s="47">
        <f t="shared" si="2"/>
        <v>53675</v>
      </c>
    </row>
    <row r="48" spans="3:7" x14ac:dyDescent="0.2">
      <c r="C48" s="10" t="s">
        <v>46</v>
      </c>
      <c r="D48" s="34">
        <v>31490</v>
      </c>
      <c r="E48" s="11">
        <f t="shared" si="1"/>
        <v>4093.7000000000003</v>
      </c>
      <c r="F48" s="37">
        <v>32950</v>
      </c>
      <c r="G48" s="47">
        <f t="shared" si="2"/>
        <v>35583.699999999997</v>
      </c>
    </row>
    <row r="49" spans="3:7" x14ac:dyDescent="0.2">
      <c r="C49" s="10" t="s">
        <v>665</v>
      </c>
      <c r="D49" s="34">
        <v>48900</v>
      </c>
      <c r="E49" s="11">
        <f t="shared" si="1"/>
        <v>6357</v>
      </c>
      <c r="F49" s="37"/>
      <c r="G49" s="47">
        <f t="shared" si="2"/>
        <v>55257</v>
      </c>
    </row>
    <row r="50" spans="3:7" x14ac:dyDescent="0.2">
      <c r="C50" s="10" t="s">
        <v>47</v>
      </c>
      <c r="D50" s="34">
        <v>3955</v>
      </c>
      <c r="E50" s="11">
        <f t="shared" si="1"/>
        <v>514.15</v>
      </c>
      <c r="F50" s="35">
        <f t="shared" si="5"/>
        <v>51.414999999999999</v>
      </c>
      <c r="G50" s="47">
        <f t="shared" si="2"/>
        <v>4469.1499999999996</v>
      </c>
    </row>
    <row r="51" spans="3:7" x14ac:dyDescent="0.2">
      <c r="C51" s="10" t="s">
        <v>48</v>
      </c>
      <c r="D51" s="34">
        <v>8550</v>
      </c>
      <c r="E51" s="11">
        <f t="shared" si="1"/>
        <v>1111.5</v>
      </c>
      <c r="F51" s="35">
        <f t="shared" si="5"/>
        <v>111.15</v>
      </c>
      <c r="G51" s="47">
        <f t="shared" si="2"/>
        <v>9661.5</v>
      </c>
    </row>
    <row r="52" spans="3:7" x14ac:dyDescent="0.2">
      <c r="C52" s="10" t="s">
        <v>49</v>
      </c>
      <c r="D52" s="34">
        <v>7260</v>
      </c>
      <c r="E52" s="11">
        <f t="shared" si="1"/>
        <v>943.80000000000007</v>
      </c>
      <c r="F52" s="37">
        <v>8200</v>
      </c>
      <c r="G52" s="47">
        <f t="shared" si="2"/>
        <v>8203.7999999999993</v>
      </c>
    </row>
    <row r="53" spans="3:7" x14ac:dyDescent="0.2">
      <c r="C53" s="10" t="s">
        <v>50</v>
      </c>
      <c r="D53" s="34">
        <v>21545</v>
      </c>
      <c r="E53" s="11">
        <f t="shared" si="1"/>
        <v>2800.85</v>
      </c>
      <c r="F53" s="35">
        <f t="shared" si="5"/>
        <v>280.08499999999998</v>
      </c>
      <c r="G53" s="47">
        <f t="shared" si="2"/>
        <v>24345.85</v>
      </c>
    </row>
    <row r="54" spans="3:7" x14ac:dyDescent="0.2">
      <c r="C54" s="10" t="s">
        <v>51</v>
      </c>
      <c r="D54" s="34">
        <v>23505</v>
      </c>
      <c r="E54" s="11">
        <f t="shared" si="1"/>
        <v>3055.65</v>
      </c>
      <c r="F54" s="35">
        <f t="shared" si="5"/>
        <v>305.565</v>
      </c>
      <c r="G54" s="47">
        <f t="shared" si="2"/>
        <v>26560.65</v>
      </c>
    </row>
    <row r="55" spans="3:7" x14ac:dyDescent="0.2">
      <c r="C55" s="10" t="s">
        <v>52</v>
      </c>
      <c r="D55" s="34">
        <v>23100</v>
      </c>
      <c r="E55" s="11">
        <f t="shared" si="1"/>
        <v>3003</v>
      </c>
      <c r="F55" s="35">
        <f t="shared" si="5"/>
        <v>300.3</v>
      </c>
      <c r="G55" s="47">
        <f t="shared" si="2"/>
        <v>26103</v>
      </c>
    </row>
    <row r="56" spans="3:7" x14ac:dyDescent="0.2">
      <c r="C56" s="10" t="s">
        <v>666</v>
      </c>
      <c r="D56" s="34">
        <v>23085</v>
      </c>
      <c r="E56" s="11">
        <f t="shared" si="1"/>
        <v>3001.05</v>
      </c>
      <c r="F56" s="35">
        <f t="shared" si="5"/>
        <v>300.10500000000002</v>
      </c>
      <c r="G56" s="47">
        <f t="shared" si="2"/>
        <v>26086.05</v>
      </c>
    </row>
    <row r="57" spans="3:7" x14ac:dyDescent="0.2">
      <c r="C57" s="10" t="s">
        <v>693</v>
      </c>
      <c r="D57" s="34">
        <v>23185</v>
      </c>
      <c r="E57" s="11">
        <f t="shared" si="1"/>
        <v>3014.05</v>
      </c>
      <c r="F57" s="35">
        <f t="shared" si="5"/>
        <v>301.40500000000003</v>
      </c>
      <c r="G57" s="47">
        <f t="shared" si="2"/>
        <v>26199.05</v>
      </c>
    </row>
    <row r="58" spans="3:7" x14ac:dyDescent="0.2">
      <c r="C58" s="10" t="s">
        <v>53</v>
      </c>
      <c r="D58" s="34">
        <v>25545</v>
      </c>
      <c r="E58" s="11">
        <f t="shared" si="1"/>
        <v>3320.85</v>
      </c>
      <c r="F58" s="35">
        <f t="shared" si="5"/>
        <v>332.08500000000004</v>
      </c>
      <c r="G58" s="47">
        <f t="shared" si="2"/>
        <v>28865.85</v>
      </c>
    </row>
    <row r="59" spans="3:7" x14ac:dyDescent="0.2">
      <c r="C59" s="10" t="s">
        <v>550</v>
      </c>
      <c r="D59" s="34">
        <v>19795</v>
      </c>
      <c r="E59" s="11">
        <f t="shared" si="1"/>
        <v>2573.35</v>
      </c>
      <c r="F59" s="35">
        <f t="shared" si="5"/>
        <v>257.33499999999998</v>
      </c>
      <c r="G59" s="47">
        <f t="shared" si="2"/>
        <v>22368.35</v>
      </c>
    </row>
    <row r="60" spans="3:7" x14ac:dyDescent="0.2">
      <c r="C60" s="10" t="s">
        <v>54</v>
      </c>
      <c r="D60" s="34">
        <v>13450</v>
      </c>
      <c r="E60" s="11">
        <f t="shared" si="1"/>
        <v>1748.5</v>
      </c>
      <c r="F60" s="35">
        <f t="shared" si="5"/>
        <v>174.85000000000002</v>
      </c>
      <c r="G60" s="47">
        <f t="shared" si="2"/>
        <v>15198.5</v>
      </c>
    </row>
    <row r="61" spans="3:7" x14ac:dyDescent="0.2">
      <c r="C61" s="10" t="s">
        <v>551</v>
      </c>
      <c r="D61" s="34">
        <v>18215</v>
      </c>
      <c r="E61" s="11">
        <f t="shared" si="1"/>
        <v>2367.9500000000003</v>
      </c>
      <c r="F61" s="35">
        <f t="shared" si="5"/>
        <v>236.79500000000004</v>
      </c>
      <c r="G61" s="47">
        <f t="shared" si="2"/>
        <v>20582.95</v>
      </c>
    </row>
    <row r="62" spans="3:7" x14ac:dyDescent="0.2">
      <c r="C62" s="10" t="s">
        <v>607</v>
      </c>
      <c r="D62" s="34">
        <v>24336</v>
      </c>
      <c r="E62" s="11">
        <f t="shared" si="1"/>
        <v>3163.6800000000003</v>
      </c>
      <c r="F62" s="35">
        <f t="shared" si="5"/>
        <v>316.36800000000005</v>
      </c>
      <c r="G62" s="47">
        <f t="shared" si="2"/>
        <v>27499.68</v>
      </c>
    </row>
    <row r="63" spans="3:7" x14ac:dyDescent="0.2">
      <c r="C63" s="10" t="s">
        <v>55</v>
      </c>
      <c r="D63" s="34">
        <v>16100</v>
      </c>
      <c r="E63" s="11">
        <f t="shared" si="1"/>
        <v>2093</v>
      </c>
      <c r="F63" s="35">
        <f t="shared" si="5"/>
        <v>209.3</v>
      </c>
      <c r="G63" s="47">
        <f t="shared" si="2"/>
        <v>18193</v>
      </c>
    </row>
    <row r="64" spans="3:7" x14ac:dyDescent="0.2">
      <c r="C64" s="10" t="s">
        <v>56</v>
      </c>
      <c r="D64" s="34">
        <v>4535</v>
      </c>
      <c r="E64" s="11">
        <f t="shared" si="1"/>
        <v>589.55000000000007</v>
      </c>
      <c r="F64" s="35">
        <f t="shared" si="5"/>
        <v>58.955000000000013</v>
      </c>
      <c r="G64" s="47">
        <f t="shared" si="2"/>
        <v>5124.55</v>
      </c>
    </row>
    <row r="65" spans="3:7" x14ac:dyDescent="0.2">
      <c r="C65" s="10" t="s">
        <v>57</v>
      </c>
      <c r="D65" s="34">
        <v>7325</v>
      </c>
      <c r="E65" s="11">
        <f t="shared" si="1"/>
        <v>952.25</v>
      </c>
      <c r="F65" s="35">
        <f t="shared" si="5"/>
        <v>95.225000000000009</v>
      </c>
      <c r="G65" s="47">
        <f t="shared" si="2"/>
        <v>8277.25</v>
      </c>
    </row>
    <row r="66" spans="3:7" ht="12.75" customHeight="1" x14ac:dyDescent="0.2">
      <c r="C66" s="10" t="s">
        <v>58</v>
      </c>
      <c r="D66" s="34">
        <v>13240</v>
      </c>
      <c r="E66" s="11">
        <f t="shared" si="1"/>
        <v>1721.2</v>
      </c>
      <c r="F66" s="35">
        <f t="shared" si="5"/>
        <v>172.12</v>
      </c>
      <c r="G66" s="47">
        <f t="shared" si="2"/>
        <v>14961.2</v>
      </c>
    </row>
    <row r="67" spans="3:7" x14ac:dyDescent="0.2">
      <c r="C67" s="10" t="s">
        <v>59</v>
      </c>
      <c r="D67" s="34">
        <v>10350</v>
      </c>
      <c r="E67" s="11">
        <f t="shared" si="1"/>
        <v>1345.5</v>
      </c>
      <c r="F67" s="35">
        <f t="shared" si="5"/>
        <v>134.55000000000001</v>
      </c>
      <c r="G67" s="47">
        <f t="shared" si="2"/>
        <v>11695.5</v>
      </c>
    </row>
    <row r="68" spans="3:7" x14ac:dyDescent="0.2">
      <c r="C68" s="10" t="s">
        <v>60</v>
      </c>
      <c r="D68" s="34">
        <v>6000</v>
      </c>
      <c r="E68" s="11">
        <f t="shared" si="1"/>
        <v>780</v>
      </c>
      <c r="F68" s="35">
        <f t="shared" si="5"/>
        <v>78</v>
      </c>
      <c r="G68" s="47">
        <f t="shared" si="2"/>
        <v>6780</v>
      </c>
    </row>
    <row r="69" spans="3:7" x14ac:dyDescent="0.2">
      <c r="C69" s="10" t="s">
        <v>61</v>
      </c>
      <c r="D69" s="34">
        <v>9300</v>
      </c>
      <c r="E69" s="11">
        <f t="shared" si="1"/>
        <v>1209</v>
      </c>
      <c r="F69" s="35">
        <f t="shared" si="5"/>
        <v>120.9</v>
      </c>
      <c r="G69" s="47">
        <f t="shared" si="2"/>
        <v>10509</v>
      </c>
    </row>
    <row r="70" spans="3:7" x14ac:dyDescent="0.2">
      <c r="C70" s="10" t="s">
        <v>62</v>
      </c>
      <c r="D70" s="34">
        <v>19580</v>
      </c>
      <c r="E70" s="11">
        <f t="shared" si="1"/>
        <v>2545.4</v>
      </c>
      <c r="F70" s="35">
        <f t="shared" si="5"/>
        <v>254.54000000000002</v>
      </c>
      <c r="G70" s="47">
        <f t="shared" si="2"/>
        <v>22125.4</v>
      </c>
    </row>
    <row r="71" spans="3:7" x14ac:dyDescent="0.2">
      <c r="C71" s="10" t="s">
        <v>692</v>
      </c>
      <c r="D71" s="34">
        <v>170100</v>
      </c>
      <c r="E71" s="11">
        <f t="shared" si="1"/>
        <v>22113</v>
      </c>
      <c r="F71" s="37">
        <v>114500</v>
      </c>
      <c r="G71" s="47">
        <f t="shared" si="2"/>
        <v>192213</v>
      </c>
    </row>
    <row r="72" spans="3:7" x14ac:dyDescent="0.2">
      <c r="C72" s="10" t="s">
        <v>63</v>
      </c>
      <c r="D72" s="34">
        <v>36355</v>
      </c>
      <c r="E72" s="11">
        <f t="shared" si="1"/>
        <v>4726.1500000000005</v>
      </c>
      <c r="F72" s="35">
        <f>+E72*$F$12</f>
        <v>472.61500000000007</v>
      </c>
      <c r="G72" s="47">
        <f t="shared" si="2"/>
        <v>41081.15</v>
      </c>
    </row>
    <row r="73" spans="3:7" x14ac:dyDescent="0.2">
      <c r="C73" s="10" t="s">
        <v>64</v>
      </c>
      <c r="D73" s="34">
        <v>38665</v>
      </c>
      <c r="E73" s="11">
        <f t="shared" si="1"/>
        <v>5026.45</v>
      </c>
      <c r="F73" s="35">
        <f>+E73*$F$12</f>
        <v>502.64499999999998</v>
      </c>
      <c r="G73" s="47">
        <f t="shared" si="2"/>
        <v>43691.45</v>
      </c>
    </row>
    <row r="74" spans="3:7" x14ac:dyDescent="0.2">
      <c r="C74" s="10" t="s">
        <v>65</v>
      </c>
      <c r="D74" s="34">
        <v>40475</v>
      </c>
      <c r="E74" s="11">
        <f t="shared" si="1"/>
        <v>5261.75</v>
      </c>
      <c r="F74" s="35">
        <f>+E74*$F$12</f>
        <v>526.17500000000007</v>
      </c>
      <c r="G74" s="47">
        <f t="shared" si="2"/>
        <v>45736.75</v>
      </c>
    </row>
    <row r="75" spans="3:7" x14ac:dyDescent="0.2">
      <c r="C75" s="10" t="s">
        <v>474</v>
      </c>
      <c r="D75" s="34">
        <v>40525</v>
      </c>
      <c r="E75" s="11">
        <f t="shared" si="1"/>
        <v>5268.25</v>
      </c>
      <c r="F75" s="35"/>
      <c r="G75" s="47">
        <f t="shared" si="2"/>
        <v>45793.25</v>
      </c>
    </row>
    <row r="76" spans="3:7" x14ac:dyDescent="0.2">
      <c r="C76" s="10" t="s">
        <v>493</v>
      </c>
      <c r="D76" s="34">
        <v>168410</v>
      </c>
      <c r="E76" s="11">
        <f t="shared" ref="E76:E132" si="6">+D76*13%</f>
        <v>21893.3</v>
      </c>
      <c r="F76" s="35"/>
      <c r="G76" s="47">
        <f t="shared" ref="G76:G132" si="7">+D76+E76</f>
        <v>190303.3</v>
      </c>
    </row>
    <row r="77" spans="3:7" x14ac:dyDescent="0.2">
      <c r="C77" s="10" t="s">
        <v>544</v>
      </c>
      <c r="D77" s="34">
        <v>78000</v>
      </c>
      <c r="E77" s="11">
        <f t="shared" si="6"/>
        <v>10140</v>
      </c>
      <c r="F77" s="35"/>
      <c r="G77" s="47">
        <f t="shared" si="7"/>
        <v>88140</v>
      </c>
    </row>
    <row r="78" spans="3:7" x14ac:dyDescent="0.2">
      <c r="C78" s="10" t="s">
        <v>552</v>
      </c>
      <c r="D78" s="34">
        <v>367000</v>
      </c>
      <c r="E78" s="11">
        <f t="shared" si="6"/>
        <v>47710</v>
      </c>
      <c r="F78" s="35"/>
      <c r="G78" s="47">
        <f t="shared" si="7"/>
        <v>414710</v>
      </c>
    </row>
    <row r="79" spans="3:7" x14ac:dyDescent="0.2">
      <c r="C79" s="10" t="s">
        <v>66</v>
      </c>
      <c r="D79" s="34">
        <v>13570</v>
      </c>
      <c r="E79" s="11">
        <f t="shared" si="6"/>
        <v>1764.1000000000001</v>
      </c>
      <c r="F79" s="35">
        <f t="shared" ref="F79:F110" si="8">+E79*$F$12</f>
        <v>176.41000000000003</v>
      </c>
      <c r="G79" s="47">
        <f t="shared" si="7"/>
        <v>15334.1</v>
      </c>
    </row>
    <row r="80" spans="3:7" x14ac:dyDescent="0.2">
      <c r="C80" s="10" t="s">
        <v>547</v>
      </c>
      <c r="D80" s="34">
        <v>50465</v>
      </c>
      <c r="E80" s="11">
        <f t="shared" si="6"/>
        <v>6560.45</v>
      </c>
      <c r="F80" s="35"/>
      <c r="G80" s="47">
        <f t="shared" si="7"/>
        <v>57025.45</v>
      </c>
    </row>
    <row r="81" spans="3:7" x14ac:dyDescent="0.2">
      <c r="C81" s="10" t="s">
        <v>67</v>
      </c>
      <c r="D81" s="34">
        <v>16100</v>
      </c>
      <c r="E81" s="11">
        <f t="shared" si="6"/>
        <v>2093</v>
      </c>
      <c r="F81" s="35">
        <f t="shared" si="8"/>
        <v>209.3</v>
      </c>
      <c r="G81" s="47">
        <f t="shared" si="7"/>
        <v>18193</v>
      </c>
    </row>
    <row r="82" spans="3:7" x14ac:dyDescent="0.2">
      <c r="C82" s="10" t="s">
        <v>465</v>
      </c>
      <c r="D82" s="34">
        <v>20600</v>
      </c>
      <c r="E82" s="11">
        <f t="shared" si="6"/>
        <v>2678</v>
      </c>
      <c r="F82" s="35">
        <f t="shared" si="8"/>
        <v>267.8</v>
      </c>
      <c r="G82" s="47">
        <f t="shared" si="7"/>
        <v>23278</v>
      </c>
    </row>
    <row r="83" spans="3:7" x14ac:dyDescent="0.2">
      <c r="C83" s="10" t="s">
        <v>68</v>
      </c>
      <c r="D83" s="34">
        <v>3890</v>
      </c>
      <c r="E83" s="11">
        <f t="shared" si="6"/>
        <v>505.70000000000005</v>
      </c>
      <c r="F83" s="35">
        <f t="shared" si="8"/>
        <v>50.570000000000007</v>
      </c>
      <c r="G83" s="47">
        <f t="shared" si="7"/>
        <v>4395.7</v>
      </c>
    </row>
    <row r="84" spans="3:7" x14ac:dyDescent="0.2">
      <c r="C84" s="10" t="s">
        <v>69</v>
      </c>
      <c r="D84" s="34">
        <v>10900</v>
      </c>
      <c r="E84" s="11">
        <f t="shared" si="6"/>
        <v>1417</v>
      </c>
      <c r="F84" s="35">
        <f t="shared" si="8"/>
        <v>141.70000000000002</v>
      </c>
      <c r="G84" s="47">
        <f t="shared" si="7"/>
        <v>12317</v>
      </c>
    </row>
    <row r="85" spans="3:7" x14ac:dyDescent="0.2">
      <c r="C85" s="10" t="s">
        <v>25</v>
      </c>
      <c r="D85" s="34">
        <v>14305</v>
      </c>
      <c r="E85" s="11">
        <f t="shared" si="6"/>
        <v>1859.65</v>
      </c>
      <c r="F85" s="35">
        <f t="shared" si="8"/>
        <v>185.96500000000003</v>
      </c>
      <c r="G85" s="47">
        <f t="shared" si="7"/>
        <v>16164.65</v>
      </c>
    </row>
    <row r="86" spans="3:7" x14ac:dyDescent="0.2">
      <c r="C86" s="10" t="s">
        <v>70</v>
      </c>
      <c r="D86" s="34">
        <v>16925</v>
      </c>
      <c r="E86" s="11">
        <f t="shared" si="6"/>
        <v>2200.25</v>
      </c>
      <c r="F86" s="35">
        <f t="shared" si="8"/>
        <v>220.02500000000001</v>
      </c>
      <c r="G86" s="47">
        <f t="shared" si="7"/>
        <v>19125.25</v>
      </c>
    </row>
    <row r="87" spans="3:7" x14ac:dyDescent="0.2">
      <c r="C87" s="10" t="s">
        <v>71</v>
      </c>
      <c r="D87" s="34">
        <v>12381</v>
      </c>
      <c r="E87" s="11">
        <f t="shared" si="6"/>
        <v>1609.53</v>
      </c>
      <c r="F87" s="35">
        <f t="shared" si="8"/>
        <v>160.953</v>
      </c>
      <c r="G87" s="47">
        <f t="shared" si="7"/>
        <v>13990.53</v>
      </c>
    </row>
    <row r="88" spans="3:7" x14ac:dyDescent="0.2">
      <c r="C88" s="10" t="s">
        <v>531</v>
      </c>
      <c r="D88" s="34">
        <v>6725</v>
      </c>
      <c r="E88" s="11">
        <f t="shared" si="6"/>
        <v>874.25</v>
      </c>
      <c r="F88" s="35">
        <f t="shared" ref="F88" si="9">+E88*$F$12</f>
        <v>87.425000000000011</v>
      </c>
      <c r="G88" s="47">
        <f t="shared" si="7"/>
        <v>7599.25</v>
      </c>
    </row>
    <row r="89" spans="3:7" x14ac:dyDescent="0.2">
      <c r="C89" s="10" t="s">
        <v>72</v>
      </c>
      <c r="D89" s="34">
        <v>14900</v>
      </c>
      <c r="E89" s="11">
        <f t="shared" si="6"/>
        <v>1937</v>
      </c>
      <c r="F89" s="35">
        <f t="shared" si="8"/>
        <v>193.70000000000002</v>
      </c>
      <c r="G89" s="47">
        <f t="shared" si="7"/>
        <v>16837</v>
      </c>
    </row>
    <row r="90" spans="3:7" x14ac:dyDescent="0.2">
      <c r="C90" s="10" t="s">
        <v>73</v>
      </c>
      <c r="D90" s="34">
        <v>11327</v>
      </c>
      <c r="E90" s="11">
        <f t="shared" si="6"/>
        <v>1472.51</v>
      </c>
      <c r="F90" s="35">
        <f t="shared" si="8"/>
        <v>147.251</v>
      </c>
      <c r="G90" s="47">
        <f t="shared" si="7"/>
        <v>12799.51</v>
      </c>
    </row>
    <row r="91" spans="3:7" x14ac:dyDescent="0.2">
      <c r="C91" s="10" t="s">
        <v>704</v>
      </c>
      <c r="D91" s="34">
        <v>19500</v>
      </c>
      <c r="E91" s="11">
        <f t="shared" si="6"/>
        <v>2535</v>
      </c>
      <c r="F91" s="35">
        <f t="shared" si="8"/>
        <v>253.5</v>
      </c>
      <c r="G91" s="47">
        <f t="shared" si="7"/>
        <v>22035</v>
      </c>
    </row>
    <row r="92" spans="3:7" x14ac:dyDescent="0.2">
      <c r="C92" s="10" t="s">
        <v>595</v>
      </c>
      <c r="D92" s="34">
        <v>25060</v>
      </c>
      <c r="E92" s="11">
        <f t="shared" si="6"/>
        <v>3257.8</v>
      </c>
      <c r="F92" s="35"/>
      <c r="G92" s="47">
        <f t="shared" si="7"/>
        <v>28317.8</v>
      </c>
    </row>
    <row r="93" spans="3:7" x14ac:dyDescent="0.2">
      <c r="C93" s="10" t="s">
        <v>705</v>
      </c>
      <c r="D93" s="34">
        <v>18865</v>
      </c>
      <c r="E93" s="11">
        <f t="shared" si="6"/>
        <v>2452.4500000000003</v>
      </c>
      <c r="F93" s="35"/>
      <c r="G93" s="47">
        <f t="shared" si="7"/>
        <v>21317.45</v>
      </c>
    </row>
    <row r="94" spans="3:7" x14ac:dyDescent="0.2">
      <c r="C94" s="10" t="s">
        <v>706</v>
      </c>
      <c r="D94" s="34">
        <v>24855</v>
      </c>
      <c r="E94" s="11">
        <f t="shared" si="6"/>
        <v>3231.15</v>
      </c>
      <c r="F94" s="35"/>
      <c r="G94" s="47">
        <f t="shared" si="7"/>
        <v>28086.15</v>
      </c>
    </row>
    <row r="95" spans="3:7" x14ac:dyDescent="0.2">
      <c r="C95" s="10" t="s">
        <v>501</v>
      </c>
      <c r="D95" s="34">
        <v>27525</v>
      </c>
      <c r="E95" s="11">
        <f t="shared" si="6"/>
        <v>3578.25</v>
      </c>
      <c r="F95" s="35">
        <f t="shared" si="8"/>
        <v>357.82500000000005</v>
      </c>
      <c r="G95" s="47">
        <f t="shared" si="7"/>
        <v>31103.25</v>
      </c>
    </row>
    <row r="96" spans="3:7" x14ac:dyDescent="0.2">
      <c r="C96" s="21" t="s">
        <v>4</v>
      </c>
      <c r="D96" s="14"/>
      <c r="E96" s="11"/>
      <c r="F96" s="38">
        <f t="shared" si="8"/>
        <v>0</v>
      </c>
      <c r="G96" s="13"/>
    </row>
    <row r="97" spans="3:7" x14ac:dyDescent="0.2">
      <c r="C97" s="21" t="s">
        <v>2</v>
      </c>
      <c r="D97" s="45" t="s">
        <v>3</v>
      </c>
      <c r="E97" s="11"/>
      <c r="F97" s="38">
        <f t="shared" si="8"/>
        <v>0</v>
      </c>
      <c r="G97" s="13"/>
    </row>
    <row r="98" spans="3:7" x14ac:dyDescent="0.2">
      <c r="C98" s="10" t="s">
        <v>613</v>
      </c>
      <c r="D98" s="34">
        <v>7980</v>
      </c>
      <c r="E98" s="11">
        <f t="shared" si="6"/>
        <v>1037.4000000000001</v>
      </c>
      <c r="F98" s="35">
        <f t="shared" si="8"/>
        <v>103.74000000000001</v>
      </c>
      <c r="G98" s="47">
        <f t="shared" si="7"/>
        <v>9017.4</v>
      </c>
    </row>
    <row r="99" spans="3:7" x14ac:dyDescent="0.2">
      <c r="C99" s="10" t="s">
        <v>74</v>
      </c>
      <c r="D99" s="34">
        <v>9115</v>
      </c>
      <c r="E99" s="11">
        <f t="shared" si="6"/>
        <v>1184.95</v>
      </c>
      <c r="F99" s="35">
        <f t="shared" si="8"/>
        <v>118.495</v>
      </c>
      <c r="G99" s="47">
        <f t="shared" si="7"/>
        <v>10299.950000000001</v>
      </c>
    </row>
    <row r="100" spans="3:7" x14ac:dyDescent="0.2">
      <c r="C100" s="10" t="s">
        <v>75</v>
      </c>
      <c r="D100" s="34">
        <v>14875</v>
      </c>
      <c r="E100" s="11">
        <f t="shared" si="6"/>
        <v>1933.75</v>
      </c>
      <c r="F100" s="37">
        <v>15500</v>
      </c>
      <c r="G100" s="47">
        <f t="shared" si="7"/>
        <v>16808.75</v>
      </c>
    </row>
    <row r="101" spans="3:7" x14ac:dyDescent="0.2">
      <c r="C101" s="10" t="s">
        <v>76</v>
      </c>
      <c r="D101" s="34">
        <v>21310</v>
      </c>
      <c r="E101" s="11">
        <f t="shared" si="6"/>
        <v>2770.3</v>
      </c>
      <c r="F101" s="35">
        <f t="shared" si="8"/>
        <v>277.03000000000003</v>
      </c>
      <c r="G101" s="47">
        <f t="shared" si="7"/>
        <v>24080.3</v>
      </c>
    </row>
    <row r="102" spans="3:7" x14ac:dyDescent="0.2">
      <c r="C102" s="10" t="s">
        <v>77</v>
      </c>
      <c r="D102" s="34">
        <v>12500</v>
      </c>
      <c r="E102" s="11">
        <f t="shared" si="6"/>
        <v>1625</v>
      </c>
      <c r="F102" s="37">
        <v>12900</v>
      </c>
      <c r="G102" s="47">
        <f t="shared" si="7"/>
        <v>14125</v>
      </c>
    </row>
    <row r="103" spans="3:7" x14ac:dyDescent="0.2">
      <c r="C103" s="10" t="s">
        <v>491</v>
      </c>
      <c r="D103" s="34">
        <v>8628</v>
      </c>
      <c r="E103" s="11">
        <f t="shared" si="6"/>
        <v>1121.6400000000001</v>
      </c>
      <c r="F103" s="36">
        <f t="shared" si="8"/>
        <v>112.16400000000002</v>
      </c>
      <c r="G103" s="47">
        <f t="shared" si="7"/>
        <v>9749.64</v>
      </c>
    </row>
    <row r="104" spans="3:7" x14ac:dyDescent="0.2">
      <c r="C104" s="10" t="s">
        <v>78</v>
      </c>
      <c r="D104" s="34">
        <v>17750</v>
      </c>
      <c r="E104" s="11">
        <f t="shared" si="6"/>
        <v>2307.5</v>
      </c>
      <c r="F104" s="35">
        <f t="shared" si="8"/>
        <v>230.75</v>
      </c>
      <c r="G104" s="47">
        <f t="shared" si="7"/>
        <v>20057.5</v>
      </c>
    </row>
    <row r="105" spans="3:7" x14ac:dyDescent="0.2">
      <c r="C105" s="10" t="s">
        <v>608</v>
      </c>
      <c r="D105" s="34">
        <v>23500</v>
      </c>
      <c r="E105" s="11">
        <f t="shared" si="6"/>
        <v>3055</v>
      </c>
      <c r="F105" s="35"/>
      <c r="G105" s="47">
        <f t="shared" si="7"/>
        <v>26555</v>
      </c>
    </row>
    <row r="106" spans="3:7" x14ac:dyDescent="0.2">
      <c r="C106" s="10" t="s">
        <v>546</v>
      </c>
      <c r="D106" s="34">
        <v>9445</v>
      </c>
      <c r="E106" s="11">
        <f t="shared" si="6"/>
        <v>1227.8500000000001</v>
      </c>
      <c r="F106" s="37">
        <v>10000</v>
      </c>
      <c r="G106" s="47">
        <f t="shared" si="7"/>
        <v>10672.85</v>
      </c>
    </row>
    <row r="107" spans="3:7" x14ac:dyDescent="0.2">
      <c r="C107" s="10" t="s">
        <v>79</v>
      </c>
      <c r="D107" s="34">
        <v>2400</v>
      </c>
      <c r="E107" s="11">
        <f t="shared" si="6"/>
        <v>312</v>
      </c>
      <c r="F107" s="35">
        <f t="shared" si="8"/>
        <v>31.200000000000003</v>
      </c>
      <c r="G107" s="47">
        <f t="shared" si="7"/>
        <v>2712</v>
      </c>
    </row>
    <row r="108" spans="3:7" x14ac:dyDescent="0.2">
      <c r="C108" s="10" t="s">
        <v>80</v>
      </c>
      <c r="D108" s="34">
        <v>4100</v>
      </c>
      <c r="E108" s="11">
        <f t="shared" si="6"/>
        <v>533</v>
      </c>
      <c r="F108" s="35">
        <f t="shared" si="8"/>
        <v>53.300000000000004</v>
      </c>
      <c r="G108" s="47">
        <f t="shared" si="7"/>
        <v>4633</v>
      </c>
    </row>
    <row r="109" spans="3:7" x14ac:dyDescent="0.2">
      <c r="C109" s="10" t="s">
        <v>81</v>
      </c>
      <c r="D109" s="34">
        <v>7325</v>
      </c>
      <c r="E109" s="11">
        <f t="shared" si="6"/>
        <v>952.25</v>
      </c>
      <c r="F109" s="35">
        <f t="shared" si="8"/>
        <v>95.225000000000009</v>
      </c>
      <c r="G109" s="47">
        <f t="shared" si="7"/>
        <v>8277.25</v>
      </c>
    </row>
    <row r="110" spans="3:7" x14ac:dyDescent="0.2">
      <c r="C110" s="10" t="s">
        <v>82</v>
      </c>
      <c r="D110" s="34">
        <v>8615</v>
      </c>
      <c r="E110" s="11">
        <f t="shared" si="6"/>
        <v>1119.95</v>
      </c>
      <c r="F110" s="35">
        <f t="shared" si="8"/>
        <v>111.995</v>
      </c>
      <c r="G110" s="47">
        <f t="shared" si="7"/>
        <v>9734.9500000000007</v>
      </c>
    </row>
    <row r="111" spans="3:7" x14ac:dyDescent="0.2">
      <c r="C111" s="10" t="s">
        <v>83</v>
      </c>
      <c r="D111" s="34">
        <v>13125</v>
      </c>
      <c r="E111" s="11">
        <f t="shared" si="6"/>
        <v>1706.25</v>
      </c>
      <c r="F111" s="35">
        <f t="shared" ref="F111:F139" si="10">+E111*$F$12</f>
        <v>170.625</v>
      </c>
      <c r="G111" s="47">
        <f t="shared" si="7"/>
        <v>14831.25</v>
      </c>
    </row>
    <row r="112" spans="3:7" x14ac:dyDescent="0.2">
      <c r="C112" s="10" t="s">
        <v>84</v>
      </c>
      <c r="D112" s="34">
        <v>2400</v>
      </c>
      <c r="E112" s="11">
        <f t="shared" si="6"/>
        <v>312</v>
      </c>
      <c r="F112" s="35">
        <f t="shared" si="10"/>
        <v>31.200000000000003</v>
      </c>
      <c r="G112" s="47">
        <f t="shared" si="7"/>
        <v>2712</v>
      </c>
    </row>
    <row r="113" spans="3:7" x14ac:dyDescent="0.2">
      <c r="C113" s="10" t="s">
        <v>85</v>
      </c>
      <c r="D113" s="34">
        <v>4100</v>
      </c>
      <c r="E113" s="11">
        <f t="shared" si="6"/>
        <v>533</v>
      </c>
      <c r="F113" s="35">
        <f t="shared" si="10"/>
        <v>53.300000000000004</v>
      </c>
      <c r="G113" s="47">
        <f t="shared" si="7"/>
        <v>4633</v>
      </c>
    </row>
    <row r="114" spans="3:7" x14ac:dyDescent="0.2">
      <c r="C114" s="10" t="s">
        <v>86</v>
      </c>
      <c r="D114" s="34">
        <v>7185</v>
      </c>
      <c r="E114" s="11">
        <f t="shared" si="6"/>
        <v>934.05000000000007</v>
      </c>
      <c r="F114" s="35">
        <f t="shared" si="10"/>
        <v>93.405000000000015</v>
      </c>
      <c r="G114" s="47">
        <f t="shared" si="7"/>
        <v>8119.05</v>
      </c>
    </row>
    <row r="115" spans="3:7" x14ac:dyDescent="0.2">
      <c r="C115" s="10" t="s">
        <v>87</v>
      </c>
      <c r="D115" s="34">
        <v>8615</v>
      </c>
      <c r="E115" s="11">
        <f t="shared" si="6"/>
        <v>1119.95</v>
      </c>
      <c r="F115" s="35">
        <f t="shared" si="10"/>
        <v>111.995</v>
      </c>
      <c r="G115" s="47">
        <f t="shared" si="7"/>
        <v>9734.9500000000007</v>
      </c>
    </row>
    <row r="116" spans="3:7" x14ac:dyDescent="0.2">
      <c r="C116" s="10" t="s">
        <v>88</v>
      </c>
      <c r="D116" s="34">
        <v>13125</v>
      </c>
      <c r="E116" s="11">
        <f t="shared" si="6"/>
        <v>1706.25</v>
      </c>
      <c r="F116" s="35">
        <f t="shared" si="10"/>
        <v>170.625</v>
      </c>
      <c r="G116" s="47">
        <f t="shared" si="7"/>
        <v>14831.25</v>
      </c>
    </row>
    <row r="117" spans="3:7" x14ac:dyDescent="0.2">
      <c r="C117" s="10" t="s">
        <v>89</v>
      </c>
      <c r="D117" s="34">
        <v>8585</v>
      </c>
      <c r="E117" s="11">
        <f t="shared" si="6"/>
        <v>1116.05</v>
      </c>
      <c r="F117" s="35">
        <f t="shared" si="10"/>
        <v>111.605</v>
      </c>
      <c r="G117" s="47">
        <f t="shared" si="7"/>
        <v>9701.0499999999993</v>
      </c>
    </row>
    <row r="118" spans="3:7" x14ac:dyDescent="0.2">
      <c r="C118" s="10" t="s">
        <v>90</v>
      </c>
      <c r="D118" s="34">
        <v>8555</v>
      </c>
      <c r="E118" s="11">
        <f t="shared" si="6"/>
        <v>1112.1500000000001</v>
      </c>
      <c r="F118" s="35">
        <f t="shared" si="10"/>
        <v>111.21500000000002</v>
      </c>
      <c r="G118" s="47">
        <f t="shared" si="7"/>
        <v>9667.15</v>
      </c>
    </row>
    <row r="119" spans="3:7" x14ac:dyDescent="0.2">
      <c r="C119" s="10" t="s">
        <v>91</v>
      </c>
      <c r="D119" s="34">
        <v>1400</v>
      </c>
      <c r="E119" s="11">
        <f t="shared" si="6"/>
        <v>182</v>
      </c>
      <c r="F119" s="35">
        <f t="shared" si="10"/>
        <v>18.2</v>
      </c>
      <c r="G119" s="47">
        <f t="shared" si="7"/>
        <v>1582</v>
      </c>
    </row>
    <row r="120" spans="3:7" x14ac:dyDescent="0.2">
      <c r="C120" s="10" t="s">
        <v>92</v>
      </c>
      <c r="D120" s="34">
        <v>4475</v>
      </c>
      <c r="E120" s="11">
        <f t="shared" si="6"/>
        <v>581.75</v>
      </c>
      <c r="F120" s="35">
        <f t="shared" si="10"/>
        <v>58.175000000000004</v>
      </c>
      <c r="G120" s="47">
        <f t="shared" si="7"/>
        <v>5056.75</v>
      </c>
    </row>
    <row r="121" spans="3:7" x14ac:dyDescent="0.2">
      <c r="C121" s="10" t="s">
        <v>93</v>
      </c>
      <c r="D121" s="34">
        <v>7470</v>
      </c>
      <c r="E121" s="11">
        <f t="shared" si="6"/>
        <v>971.1</v>
      </c>
      <c r="F121" s="35">
        <f t="shared" si="10"/>
        <v>97.110000000000014</v>
      </c>
      <c r="G121" s="47">
        <f t="shared" si="7"/>
        <v>8441.1</v>
      </c>
    </row>
    <row r="122" spans="3:7" x14ac:dyDescent="0.2">
      <c r="C122" s="10" t="s">
        <v>94</v>
      </c>
      <c r="D122" s="34">
        <v>9535</v>
      </c>
      <c r="E122" s="11">
        <f t="shared" si="6"/>
        <v>1239.55</v>
      </c>
      <c r="F122" s="35">
        <f t="shared" si="10"/>
        <v>123.955</v>
      </c>
      <c r="G122" s="47">
        <f t="shared" si="7"/>
        <v>10774.55</v>
      </c>
    </row>
    <row r="123" spans="3:7" x14ac:dyDescent="0.2">
      <c r="C123" s="10" t="s">
        <v>95</v>
      </c>
      <c r="D123" s="34">
        <v>3125</v>
      </c>
      <c r="E123" s="11">
        <f t="shared" si="6"/>
        <v>406.25</v>
      </c>
      <c r="F123" s="35">
        <f t="shared" si="10"/>
        <v>40.625</v>
      </c>
      <c r="G123" s="47">
        <f t="shared" si="7"/>
        <v>3531.25</v>
      </c>
    </row>
    <row r="124" spans="3:7" x14ac:dyDescent="0.2">
      <c r="C124" s="10" t="s">
        <v>96</v>
      </c>
      <c r="D124" s="34">
        <v>5080</v>
      </c>
      <c r="E124" s="11">
        <f t="shared" si="6"/>
        <v>660.4</v>
      </c>
      <c r="F124" s="35">
        <f t="shared" si="10"/>
        <v>66.040000000000006</v>
      </c>
      <c r="G124" s="47">
        <f t="shared" si="7"/>
        <v>5740.4</v>
      </c>
    </row>
    <row r="125" spans="3:7" x14ac:dyDescent="0.2">
      <c r="C125" s="10" t="s">
        <v>97</v>
      </c>
      <c r="D125" s="34">
        <v>8475</v>
      </c>
      <c r="E125" s="11">
        <f t="shared" si="6"/>
        <v>1101.75</v>
      </c>
      <c r="F125" s="35">
        <f t="shared" si="10"/>
        <v>110.17500000000001</v>
      </c>
      <c r="G125" s="47">
        <f t="shared" si="7"/>
        <v>9576.75</v>
      </c>
    </row>
    <row r="126" spans="3:7" x14ac:dyDescent="0.2">
      <c r="C126" s="10" t="s">
        <v>505</v>
      </c>
      <c r="D126" s="34">
        <v>18175</v>
      </c>
      <c r="E126" s="11">
        <f t="shared" si="6"/>
        <v>2362.75</v>
      </c>
      <c r="F126" s="35">
        <f t="shared" si="10"/>
        <v>236.27500000000001</v>
      </c>
      <c r="G126" s="47">
        <f t="shared" si="7"/>
        <v>20537.75</v>
      </c>
    </row>
    <row r="127" spans="3:7" x14ac:dyDescent="0.2">
      <c r="C127" s="10" t="s">
        <v>460</v>
      </c>
      <c r="D127" s="34">
        <v>10025</v>
      </c>
      <c r="E127" s="11">
        <f t="shared" si="6"/>
        <v>1303.25</v>
      </c>
      <c r="F127" s="35">
        <f t="shared" si="10"/>
        <v>130.32500000000002</v>
      </c>
      <c r="G127" s="47">
        <f t="shared" si="7"/>
        <v>11328.25</v>
      </c>
    </row>
    <row r="128" spans="3:7" x14ac:dyDescent="0.2">
      <c r="C128" s="10" t="s">
        <v>98</v>
      </c>
      <c r="D128" s="34">
        <v>4050</v>
      </c>
      <c r="E128" s="11">
        <f t="shared" si="6"/>
        <v>526.5</v>
      </c>
      <c r="F128" s="35">
        <f t="shared" si="10"/>
        <v>52.650000000000006</v>
      </c>
      <c r="G128" s="47">
        <f t="shared" si="7"/>
        <v>4576.5</v>
      </c>
    </row>
    <row r="129" spans="3:7" x14ac:dyDescent="0.2">
      <c r="C129" s="10" t="s">
        <v>609</v>
      </c>
      <c r="D129" s="34">
        <v>6370</v>
      </c>
      <c r="E129" s="11">
        <f t="shared" si="6"/>
        <v>828.1</v>
      </c>
      <c r="F129" s="35"/>
      <c r="G129" s="47">
        <f t="shared" si="7"/>
        <v>7198.1</v>
      </c>
    </row>
    <row r="130" spans="3:7" x14ac:dyDescent="0.2">
      <c r="C130" s="10" t="s">
        <v>99</v>
      </c>
      <c r="D130" s="34">
        <v>10540</v>
      </c>
      <c r="E130" s="11">
        <f t="shared" si="6"/>
        <v>1370.2</v>
      </c>
      <c r="F130" s="35">
        <f t="shared" si="10"/>
        <v>137.02000000000001</v>
      </c>
      <c r="G130" s="47">
        <f t="shared" si="7"/>
        <v>11910.2</v>
      </c>
    </row>
    <row r="131" spans="3:7" x14ac:dyDescent="0.2">
      <c r="C131" s="10" t="s">
        <v>463</v>
      </c>
      <c r="D131" s="44">
        <v>12920</v>
      </c>
      <c r="E131" s="11">
        <f t="shared" si="6"/>
        <v>1679.6000000000001</v>
      </c>
      <c r="F131" s="35">
        <f t="shared" si="10"/>
        <v>167.96000000000004</v>
      </c>
      <c r="G131" s="47">
        <f t="shared" si="7"/>
        <v>14599.6</v>
      </c>
    </row>
    <row r="132" spans="3:7" x14ac:dyDescent="0.2">
      <c r="C132" s="10" t="s">
        <v>100</v>
      </c>
      <c r="D132" s="34">
        <v>14925</v>
      </c>
      <c r="E132" s="11">
        <f t="shared" si="6"/>
        <v>1940.25</v>
      </c>
      <c r="F132" s="35">
        <f t="shared" si="10"/>
        <v>194.02500000000001</v>
      </c>
      <c r="G132" s="47">
        <f t="shared" si="7"/>
        <v>16865.25</v>
      </c>
    </row>
    <row r="133" spans="3:7" x14ac:dyDescent="0.2">
      <c r="C133" s="10" t="s">
        <v>101</v>
      </c>
      <c r="D133" s="34">
        <v>27480</v>
      </c>
      <c r="E133" s="11">
        <f t="shared" ref="E133:E187" si="11">+D133*13%</f>
        <v>3572.4</v>
      </c>
      <c r="F133" s="35">
        <f t="shared" si="10"/>
        <v>357.24</v>
      </c>
      <c r="G133" s="47">
        <f t="shared" ref="G133:G187" si="12">+D133+E133</f>
        <v>31052.400000000001</v>
      </c>
    </row>
    <row r="134" spans="3:7" x14ac:dyDescent="0.2">
      <c r="C134" s="10" t="s">
        <v>102</v>
      </c>
      <c r="D134" s="34">
        <v>35190</v>
      </c>
      <c r="E134" s="11">
        <f t="shared" si="11"/>
        <v>4574.7</v>
      </c>
      <c r="F134" s="37">
        <v>39500</v>
      </c>
      <c r="G134" s="47">
        <f t="shared" si="12"/>
        <v>39764.699999999997</v>
      </c>
    </row>
    <row r="135" spans="3:7" x14ac:dyDescent="0.2">
      <c r="C135" s="10" t="s">
        <v>103</v>
      </c>
      <c r="D135" s="34">
        <v>54600</v>
      </c>
      <c r="E135" s="11">
        <f t="shared" si="11"/>
        <v>7098</v>
      </c>
      <c r="F135" s="35">
        <f t="shared" si="10"/>
        <v>709.80000000000007</v>
      </c>
      <c r="G135" s="47">
        <f t="shared" si="12"/>
        <v>61698</v>
      </c>
    </row>
    <row r="136" spans="3:7" x14ac:dyDescent="0.2">
      <c r="C136" s="10" t="s">
        <v>506</v>
      </c>
      <c r="D136" s="34">
        <v>8970</v>
      </c>
      <c r="E136" s="11">
        <f t="shared" si="11"/>
        <v>1166.1000000000001</v>
      </c>
      <c r="F136" s="35">
        <f t="shared" si="10"/>
        <v>116.61000000000001</v>
      </c>
      <c r="G136" s="47">
        <f>+D136+E136</f>
        <v>10136.1</v>
      </c>
    </row>
    <row r="137" spans="3:7" x14ac:dyDescent="0.2">
      <c r="C137" s="10" t="s">
        <v>466</v>
      </c>
      <c r="D137" s="34">
        <v>7075</v>
      </c>
      <c r="E137" s="11">
        <f t="shared" si="11"/>
        <v>919.75</v>
      </c>
      <c r="F137" s="35">
        <f t="shared" si="10"/>
        <v>91.975000000000009</v>
      </c>
      <c r="G137" s="47">
        <f t="shared" si="12"/>
        <v>7994.75</v>
      </c>
    </row>
    <row r="138" spans="3:7" x14ac:dyDescent="0.2">
      <c r="C138" s="10" t="s">
        <v>467</v>
      </c>
      <c r="D138" s="34">
        <v>5855</v>
      </c>
      <c r="E138" s="11">
        <f t="shared" si="11"/>
        <v>761.15</v>
      </c>
      <c r="F138" s="35">
        <f t="shared" si="10"/>
        <v>76.114999999999995</v>
      </c>
      <c r="G138" s="47">
        <f t="shared" si="12"/>
        <v>6616.15</v>
      </c>
    </row>
    <row r="139" spans="3:7" x14ac:dyDescent="0.2">
      <c r="C139" s="10" t="s">
        <v>104</v>
      </c>
      <c r="D139" s="34">
        <v>3850</v>
      </c>
      <c r="E139" s="11">
        <f t="shared" si="11"/>
        <v>500.5</v>
      </c>
      <c r="F139" s="35">
        <f t="shared" si="10"/>
        <v>50.050000000000004</v>
      </c>
      <c r="G139" s="47">
        <f t="shared" si="12"/>
        <v>4350.5</v>
      </c>
    </row>
    <row r="140" spans="3:7" x14ac:dyDescent="0.2">
      <c r="C140" s="10" t="s">
        <v>105</v>
      </c>
      <c r="D140" s="34">
        <v>11210</v>
      </c>
      <c r="E140" s="11">
        <f t="shared" si="11"/>
        <v>1457.3</v>
      </c>
      <c r="F140" s="35">
        <f t="shared" ref="F140:F147" si="13">+E140*$F$12</f>
        <v>145.72999999999999</v>
      </c>
      <c r="G140" s="47">
        <f t="shared" si="12"/>
        <v>12667.3</v>
      </c>
    </row>
    <row r="141" spans="3:7" x14ac:dyDescent="0.2">
      <c r="C141" s="10" t="s">
        <v>106</v>
      </c>
      <c r="D141" s="34">
        <v>4800</v>
      </c>
      <c r="E141" s="11">
        <f t="shared" si="11"/>
        <v>624</v>
      </c>
      <c r="F141" s="38">
        <f t="shared" si="13"/>
        <v>62.400000000000006</v>
      </c>
      <c r="G141" s="47">
        <f t="shared" si="12"/>
        <v>5424</v>
      </c>
    </row>
    <row r="142" spans="3:7" x14ac:dyDescent="0.2">
      <c r="C142" s="10" t="s">
        <v>107</v>
      </c>
      <c r="D142" s="34">
        <v>4800</v>
      </c>
      <c r="E142" s="11">
        <f t="shared" si="11"/>
        <v>624</v>
      </c>
      <c r="F142" s="38">
        <f t="shared" si="13"/>
        <v>62.400000000000006</v>
      </c>
      <c r="G142" s="47">
        <f t="shared" si="12"/>
        <v>5424</v>
      </c>
    </row>
    <row r="143" spans="3:7" x14ac:dyDescent="0.2">
      <c r="C143" s="10" t="s">
        <v>610</v>
      </c>
      <c r="D143" s="34">
        <v>2350</v>
      </c>
      <c r="E143" s="11">
        <f t="shared" si="11"/>
        <v>305.5</v>
      </c>
      <c r="F143" s="35">
        <f t="shared" si="13"/>
        <v>30.55</v>
      </c>
      <c r="G143" s="47">
        <f t="shared" si="12"/>
        <v>2655.5</v>
      </c>
    </row>
    <row r="144" spans="3:7" x14ac:dyDescent="0.2">
      <c r="C144" s="10" t="s">
        <v>108</v>
      </c>
      <c r="D144" s="34">
        <v>5075</v>
      </c>
      <c r="E144" s="11">
        <f t="shared" si="11"/>
        <v>659.75</v>
      </c>
      <c r="F144" s="35">
        <f t="shared" si="13"/>
        <v>65.975000000000009</v>
      </c>
      <c r="G144" s="47">
        <f t="shared" si="12"/>
        <v>5734.75</v>
      </c>
    </row>
    <row r="145" spans="3:7" x14ac:dyDescent="0.2">
      <c r="C145" s="10" t="s">
        <v>109</v>
      </c>
      <c r="D145" s="34">
        <v>11210</v>
      </c>
      <c r="E145" s="11">
        <f t="shared" si="11"/>
        <v>1457.3</v>
      </c>
      <c r="F145" s="38">
        <f t="shared" si="13"/>
        <v>145.72999999999999</v>
      </c>
      <c r="G145" s="47">
        <f t="shared" si="12"/>
        <v>12667.3</v>
      </c>
    </row>
    <row r="146" spans="3:7" x14ac:dyDescent="0.2">
      <c r="C146" s="10" t="s">
        <v>110</v>
      </c>
      <c r="D146" s="34">
        <v>4265</v>
      </c>
      <c r="E146" s="11">
        <f t="shared" si="11"/>
        <v>554.45000000000005</v>
      </c>
      <c r="F146" s="35">
        <f t="shared" si="13"/>
        <v>55.445000000000007</v>
      </c>
      <c r="G146" s="47">
        <f t="shared" si="12"/>
        <v>4819.45</v>
      </c>
    </row>
    <row r="147" spans="3:7" x14ac:dyDescent="0.2">
      <c r="C147" s="10" t="s">
        <v>111</v>
      </c>
      <c r="D147" s="34">
        <v>7100</v>
      </c>
      <c r="E147" s="11">
        <f t="shared" si="11"/>
        <v>923</v>
      </c>
      <c r="F147" s="35">
        <f t="shared" si="13"/>
        <v>92.300000000000011</v>
      </c>
      <c r="G147" s="47">
        <f t="shared" si="12"/>
        <v>8023</v>
      </c>
    </row>
    <row r="148" spans="3:7" x14ac:dyDescent="0.2">
      <c r="C148" s="10" t="s">
        <v>457</v>
      </c>
      <c r="D148" s="34">
        <v>7665</v>
      </c>
      <c r="E148" s="11">
        <f t="shared" si="11"/>
        <v>996.45</v>
      </c>
      <c r="F148" s="35">
        <v>7</v>
      </c>
      <c r="G148" s="47">
        <f t="shared" si="12"/>
        <v>8661.4500000000007</v>
      </c>
    </row>
    <row r="149" spans="3:7" x14ac:dyDescent="0.2">
      <c r="C149" s="10" t="s">
        <v>112</v>
      </c>
      <c r="D149" s="34">
        <v>15600</v>
      </c>
      <c r="E149" s="11">
        <f t="shared" si="11"/>
        <v>2028</v>
      </c>
      <c r="F149" s="35">
        <f t="shared" ref="F149:F167" si="14">+E149*$F$12</f>
        <v>202.8</v>
      </c>
      <c r="G149" s="47">
        <f t="shared" si="12"/>
        <v>17628</v>
      </c>
    </row>
    <row r="150" spans="3:7" x14ac:dyDescent="0.2">
      <c r="C150" s="10" t="s">
        <v>113</v>
      </c>
      <c r="D150" s="34">
        <v>16330</v>
      </c>
      <c r="E150" s="11">
        <f t="shared" si="11"/>
        <v>2122.9</v>
      </c>
      <c r="F150" s="35">
        <f t="shared" si="14"/>
        <v>212.29000000000002</v>
      </c>
      <c r="G150" s="47">
        <f t="shared" si="12"/>
        <v>18452.900000000001</v>
      </c>
    </row>
    <row r="151" spans="3:7" x14ac:dyDescent="0.2">
      <c r="C151" s="10" t="s">
        <v>114</v>
      </c>
      <c r="D151" s="34">
        <v>5355</v>
      </c>
      <c r="E151" s="11">
        <f t="shared" si="11"/>
        <v>696.15</v>
      </c>
      <c r="F151" s="35">
        <f t="shared" si="14"/>
        <v>69.614999999999995</v>
      </c>
      <c r="G151" s="47">
        <f t="shared" si="12"/>
        <v>6051.15</v>
      </c>
    </row>
    <row r="152" spans="3:7" x14ac:dyDescent="0.2">
      <c r="C152" s="10" t="s">
        <v>115</v>
      </c>
      <c r="D152" s="34">
        <v>10130</v>
      </c>
      <c r="E152" s="11">
        <f t="shared" si="11"/>
        <v>1316.9</v>
      </c>
      <c r="F152" s="35">
        <f t="shared" si="14"/>
        <v>131.69000000000003</v>
      </c>
      <c r="G152" s="47">
        <f>+D152+E152</f>
        <v>11446.9</v>
      </c>
    </row>
    <row r="153" spans="3:7" x14ac:dyDescent="0.2">
      <c r="C153" s="10" t="s">
        <v>116</v>
      </c>
      <c r="D153" s="34">
        <v>23095</v>
      </c>
      <c r="E153" s="11">
        <f t="shared" si="11"/>
        <v>3002.35</v>
      </c>
      <c r="F153" s="35">
        <f t="shared" si="14"/>
        <v>300.23500000000001</v>
      </c>
      <c r="G153" s="47">
        <f t="shared" si="12"/>
        <v>26097.35</v>
      </c>
    </row>
    <row r="154" spans="3:7" x14ac:dyDescent="0.2">
      <c r="C154" s="10" t="s">
        <v>117</v>
      </c>
      <c r="D154" s="34">
        <v>17170</v>
      </c>
      <c r="E154" s="11">
        <f t="shared" si="11"/>
        <v>2232.1</v>
      </c>
      <c r="F154" s="35">
        <f t="shared" si="14"/>
        <v>223.21</v>
      </c>
      <c r="G154" s="47">
        <f t="shared" si="12"/>
        <v>19402.099999999999</v>
      </c>
    </row>
    <row r="155" spans="3:7" x14ac:dyDescent="0.2">
      <c r="C155" s="10" t="s">
        <v>118</v>
      </c>
      <c r="D155" s="34">
        <v>24250</v>
      </c>
      <c r="E155" s="11">
        <f t="shared" si="11"/>
        <v>3152.5</v>
      </c>
      <c r="F155" s="35">
        <f t="shared" si="14"/>
        <v>315.25</v>
      </c>
      <c r="G155" s="47">
        <f t="shared" si="12"/>
        <v>27402.5</v>
      </c>
    </row>
    <row r="156" spans="3:7" x14ac:dyDescent="0.2">
      <c r="C156" s="10" t="s">
        <v>119</v>
      </c>
      <c r="D156" s="34">
        <v>90595</v>
      </c>
      <c r="E156" s="11">
        <f t="shared" si="11"/>
        <v>11777.35</v>
      </c>
      <c r="F156" s="35">
        <f t="shared" si="14"/>
        <v>1177.7350000000001</v>
      </c>
      <c r="G156" s="47">
        <f t="shared" si="12"/>
        <v>102372.35</v>
      </c>
    </row>
    <row r="157" spans="3:7" x14ac:dyDescent="0.2">
      <c r="C157" s="10" t="s">
        <v>533</v>
      </c>
      <c r="D157" s="34">
        <v>8650</v>
      </c>
      <c r="E157" s="11">
        <f t="shared" si="11"/>
        <v>1124.5</v>
      </c>
      <c r="F157" s="35">
        <f t="shared" ref="F157" si="15">+E157*$F$12</f>
        <v>112.45</v>
      </c>
      <c r="G157" s="47">
        <f t="shared" si="12"/>
        <v>9774.5</v>
      </c>
    </row>
    <row r="158" spans="3:7" x14ac:dyDescent="0.2">
      <c r="C158" s="10" t="s">
        <v>611</v>
      </c>
      <c r="D158" s="34">
        <v>9165</v>
      </c>
      <c r="E158" s="11">
        <f t="shared" si="11"/>
        <v>1191.45</v>
      </c>
      <c r="F158" s="35">
        <f t="shared" ref="F158" si="16">+E158*$F$12</f>
        <v>119.14500000000001</v>
      </c>
      <c r="G158" s="47">
        <f t="shared" si="12"/>
        <v>10356.450000000001</v>
      </c>
    </row>
    <row r="159" spans="3:7" x14ac:dyDescent="0.2">
      <c r="C159" s="10" t="s">
        <v>553</v>
      </c>
      <c r="D159" s="34">
        <v>5755</v>
      </c>
      <c r="E159" s="11">
        <f t="shared" si="11"/>
        <v>748.15</v>
      </c>
      <c r="F159" s="35">
        <f t="shared" si="14"/>
        <v>74.814999999999998</v>
      </c>
      <c r="G159" s="47">
        <f t="shared" si="12"/>
        <v>6503.15</v>
      </c>
    </row>
    <row r="160" spans="3:7" x14ac:dyDescent="0.2">
      <c r="C160" s="10" t="s">
        <v>120</v>
      </c>
      <c r="D160" s="34">
        <v>10325</v>
      </c>
      <c r="E160" s="11">
        <f t="shared" si="11"/>
        <v>1342.25</v>
      </c>
      <c r="F160" s="37">
        <v>10800</v>
      </c>
      <c r="G160" s="47">
        <f t="shared" si="12"/>
        <v>11667.25</v>
      </c>
    </row>
    <row r="161" spans="3:7" x14ac:dyDescent="0.2">
      <c r="C161" s="10" t="s">
        <v>121</v>
      </c>
      <c r="D161" s="34">
        <v>12795</v>
      </c>
      <c r="E161" s="11">
        <f t="shared" si="11"/>
        <v>1663.3500000000001</v>
      </c>
      <c r="F161" s="37">
        <v>12550</v>
      </c>
      <c r="G161" s="47">
        <f t="shared" si="12"/>
        <v>14458.35</v>
      </c>
    </row>
    <row r="162" spans="3:7" x14ac:dyDescent="0.2">
      <c r="C162" s="10" t="s">
        <v>612</v>
      </c>
      <c r="D162" s="34">
        <v>8850</v>
      </c>
      <c r="E162" s="11">
        <f t="shared" si="11"/>
        <v>1150.5</v>
      </c>
      <c r="F162" s="35">
        <f t="shared" si="14"/>
        <v>115.05000000000001</v>
      </c>
      <c r="G162" s="47">
        <f t="shared" si="12"/>
        <v>10000.5</v>
      </c>
    </row>
    <row r="163" spans="3:7" x14ac:dyDescent="0.2">
      <c r="C163" s="10" t="s">
        <v>122</v>
      </c>
      <c r="D163" s="34">
        <v>7625</v>
      </c>
      <c r="E163" s="11">
        <f t="shared" si="11"/>
        <v>991.25</v>
      </c>
      <c r="F163" s="35">
        <f t="shared" si="14"/>
        <v>99.125</v>
      </c>
      <c r="G163" s="47">
        <f t="shared" si="12"/>
        <v>8616.25</v>
      </c>
    </row>
    <row r="164" spans="3:7" x14ac:dyDescent="0.2">
      <c r="C164" s="10" t="s">
        <v>123</v>
      </c>
      <c r="D164" s="34">
        <v>16371.68</v>
      </c>
      <c r="E164" s="11">
        <f t="shared" si="11"/>
        <v>2128.3184000000001</v>
      </c>
      <c r="F164" s="35">
        <f t="shared" si="14"/>
        <v>212.83184000000003</v>
      </c>
      <c r="G164" s="47">
        <f t="shared" si="12"/>
        <v>18499.9984</v>
      </c>
    </row>
    <row r="165" spans="3:7" x14ac:dyDescent="0.2">
      <c r="C165" s="10" t="s">
        <v>124</v>
      </c>
      <c r="D165" s="34">
        <v>11210</v>
      </c>
      <c r="E165" s="11">
        <f t="shared" si="11"/>
        <v>1457.3</v>
      </c>
      <c r="F165" s="35">
        <f t="shared" si="14"/>
        <v>145.72999999999999</v>
      </c>
      <c r="G165" s="47">
        <f t="shared" si="12"/>
        <v>12667.3</v>
      </c>
    </row>
    <row r="166" spans="3:7" x14ac:dyDescent="0.2">
      <c r="C166" s="10" t="s">
        <v>468</v>
      </c>
      <c r="D166" s="34">
        <v>4770</v>
      </c>
      <c r="E166" s="11">
        <f t="shared" si="11"/>
        <v>620.1</v>
      </c>
      <c r="F166" s="38">
        <f t="shared" si="14"/>
        <v>62.010000000000005</v>
      </c>
      <c r="G166" s="47">
        <f t="shared" si="12"/>
        <v>5390.1</v>
      </c>
    </row>
    <row r="167" spans="3:7" x14ac:dyDescent="0.2">
      <c r="C167" s="10" t="s">
        <v>470</v>
      </c>
      <c r="D167" s="34">
        <v>2690</v>
      </c>
      <c r="E167" s="11">
        <f t="shared" si="11"/>
        <v>349.7</v>
      </c>
      <c r="F167" s="38">
        <f t="shared" si="14"/>
        <v>34.97</v>
      </c>
      <c r="G167" s="47">
        <f t="shared" si="12"/>
        <v>3039.7</v>
      </c>
    </row>
    <row r="168" spans="3:7" x14ac:dyDescent="0.2">
      <c r="C168" s="10" t="s">
        <v>469</v>
      </c>
      <c r="D168" s="34">
        <v>4770</v>
      </c>
      <c r="E168" s="11">
        <f t="shared" si="11"/>
        <v>620.1</v>
      </c>
      <c r="F168" s="38">
        <f t="shared" ref="F168:F203" si="17">+E168*$F$12</f>
        <v>62.010000000000005</v>
      </c>
      <c r="G168" s="47">
        <f t="shared" si="12"/>
        <v>5390.1</v>
      </c>
    </row>
    <row r="169" spans="3:7" x14ac:dyDescent="0.2">
      <c r="C169" s="10" t="s">
        <v>471</v>
      </c>
      <c r="D169" s="34">
        <v>4770</v>
      </c>
      <c r="E169" s="11">
        <f t="shared" si="11"/>
        <v>620.1</v>
      </c>
      <c r="F169" s="35">
        <f t="shared" si="17"/>
        <v>62.010000000000005</v>
      </c>
      <c r="G169" s="47">
        <f t="shared" si="12"/>
        <v>5390.1</v>
      </c>
    </row>
    <row r="170" spans="3:7" x14ac:dyDescent="0.2">
      <c r="C170" s="10" t="s">
        <v>503</v>
      </c>
      <c r="D170" s="34">
        <v>5973</v>
      </c>
      <c r="E170" s="11">
        <f t="shared" si="11"/>
        <v>776.49</v>
      </c>
      <c r="F170" s="35">
        <f t="shared" si="17"/>
        <v>77.649000000000001</v>
      </c>
      <c r="G170" s="47">
        <f t="shared" si="12"/>
        <v>6749.49</v>
      </c>
    </row>
    <row r="171" spans="3:7" x14ac:dyDescent="0.2">
      <c r="C171" s="10" t="s">
        <v>526</v>
      </c>
      <c r="D171" s="34">
        <v>35590</v>
      </c>
      <c r="E171" s="11">
        <f t="shared" si="11"/>
        <v>4626.7</v>
      </c>
      <c r="F171" s="35">
        <f t="shared" si="17"/>
        <v>462.67</v>
      </c>
      <c r="G171" s="48">
        <f t="shared" si="12"/>
        <v>40216.699999999997</v>
      </c>
    </row>
    <row r="172" spans="3:7" x14ac:dyDescent="0.2">
      <c r="C172" s="10" t="s">
        <v>125</v>
      </c>
      <c r="D172" s="34">
        <v>27900</v>
      </c>
      <c r="E172" s="11">
        <f t="shared" si="11"/>
        <v>3627</v>
      </c>
      <c r="F172" s="35">
        <f t="shared" si="17"/>
        <v>362.70000000000005</v>
      </c>
      <c r="G172" s="47">
        <f t="shared" si="12"/>
        <v>31527</v>
      </c>
    </row>
    <row r="173" spans="3:7" x14ac:dyDescent="0.2">
      <c r="C173" s="10" t="s">
        <v>126</v>
      </c>
      <c r="D173" s="34">
        <v>59500</v>
      </c>
      <c r="E173" s="11">
        <f t="shared" si="11"/>
        <v>7735</v>
      </c>
      <c r="F173" s="35">
        <f t="shared" si="17"/>
        <v>773.5</v>
      </c>
      <c r="G173" s="47">
        <f t="shared" si="12"/>
        <v>67235</v>
      </c>
    </row>
    <row r="174" spans="3:7" x14ac:dyDescent="0.2">
      <c r="C174" s="10" t="s">
        <v>520</v>
      </c>
      <c r="D174" s="34">
        <v>22450</v>
      </c>
      <c r="E174" s="11">
        <f t="shared" si="11"/>
        <v>2918.5</v>
      </c>
      <c r="F174" s="35">
        <f t="shared" si="17"/>
        <v>291.85000000000002</v>
      </c>
      <c r="G174" s="47">
        <f t="shared" si="12"/>
        <v>25368.5</v>
      </c>
    </row>
    <row r="175" spans="3:7" x14ac:dyDescent="0.2">
      <c r="C175" s="21" t="s">
        <v>5</v>
      </c>
      <c r="D175" s="14"/>
      <c r="E175" s="11"/>
      <c r="F175" s="38">
        <f t="shared" si="17"/>
        <v>0</v>
      </c>
      <c r="G175" s="13"/>
    </row>
    <row r="176" spans="3:7" x14ac:dyDescent="0.2">
      <c r="C176" s="21" t="s">
        <v>2</v>
      </c>
      <c r="D176" s="45" t="s">
        <v>3</v>
      </c>
      <c r="E176" s="11"/>
      <c r="F176" s="38">
        <f t="shared" si="17"/>
        <v>0</v>
      </c>
      <c r="G176" s="13"/>
    </row>
    <row r="177" spans="3:7" x14ac:dyDescent="0.2">
      <c r="C177" s="10" t="s">
        <v>127</v>
      </c>
      <c r="D177" s="34">
        <v>4225</v>
      </c>
      <c r="E177" s="11">
        <f t="shared" si="11"/>
        <v>549.25</v>
      </c>
      <c r="F177" s="38">
        <f t="shared" si="17"/>
        <v>54.925000000000004</v>
      </c>
      <c r="G177" s="47">
        <f t="shared" si="12"/>
        <v>4774.25</v>
      </c>
    </row>
    <row r="178" spans="3:7" x14ac:dyDescent="0.2">
      <c r="C178" s="10" t="s">
        <v>128</v>
      </c>
      <c r="D178" s="34">
        <v>8025</v>
      </c>
      <c r="E178" s="11">
        <f t="shared" si="11"/>
        <v>1043.25</v>
      </c>
      <c r="F178" s="38">
        <f t="shared" si="17"/>
        <v>104.325</v>
      </c>
      <c r="G178" s="47">
        <f t="shared" si="12"/>
        <v>9068.25</v>
      </c>
    </row>
    <row r="179" spans="3:7" x14ac:dyDescent="0.2">
      <c r="C179" s="10" t="s">
        <v>129</v>
      </c>
      <c r="D179" s="34">
        <v>14750</v>
      </c>
      <c r="E179" s="11">
        <f t="shared" si="11"/>
        <v>1917.5</v>
      </c>
      <c r="F179" s="38">
        <f t="shared" si="17"/>
        <v>191.75</v>
      </c>
      <c r="G179" s="47">
        <f t="shared" si="12"/>
        <v>16667.5</v>
      </c>
    </row>
    <row r="180" spans="3:7" x14ac:dyDescent="0.2">
      <c r="C180" s="10" t="s">
        <v>130</v>
      </c>
      <c r="D180" s="34">
        <v>18050</v>
      </c>
      <c r="E180" s="11">
        <f t="shared" si="11"/>
        <v>2346.5</v>
      </c>
      <c r="F180" s="38">
        <f t="shared" si="17"/>
        <v>234.65</v>
      </c>
      <c r="G180" s="47">
        <f t="shared" si="12"/>
        <v>20396.5</v>
      </c>
    </row>
    <row r="181" spans="3:7" x14ac:dyDescent="0.2">
      <c r="C181" s="10" t="s">
        <v>502</v>
      </c>
      <c r="D181" s="34">
        <v>32515</v>
      </c>
      <c r="E181" s="11">
        <f t="shared" si="11"/>
        <v>4226.95</v>
      </c>
      <c r="F181" s="38">
        <f t="shared" si="17"/>
        <v>422.69499999999999</v>
      </c>
      <c r="G181" s="47">
        <f t="shared" si="12"/>
        <v>36741.949999999997</v>
      </c>
    </row>
    <row r="182" spans="3:7" x14ac:dyDescent="0.2">
      <c r="C182" s="10" t="s">
        <v>131</v>
      </c>
      <c r="D182" s="34">
        <v>18050</v>
      </c>
      <c r="E182" s="11">
        <f t="shared" si="11"/>
        <v>2346.5</v>
      </c>
      <c r="F182" s="36">
        <f t="shared" si="17"/>
        <v>234.65</v>
      </c>
      <c r="G182" s="47">
        <f t="shared" si="12"/>
        <v>20396.5</v>
      </c>
    </row>
    <row r="183" spans="3:7" x14ac:dyDescent="0.2">
      <c r="C183" s="10" t="s">
        <v>132</v>
      </c>
      <c r="D183" s="34">
        <v>18050</v>
      </c>
      <c r="E183" s="11">
        <f t="shared" si="11"/>
        <v>2346.5</v>
      </c>
      <c r="F183" s="38">
        <f t="shared" si="17"/>
        <v>234.65</v>
      </c>
      <c r="G183" s="47">
        <f t="shared" si="12"/>
        <v>20396.5</v>
      </c>
    </row>
    <row r="184" spans="3:7" x14ac:dyDescent="0.2">
      <c r="C184" s="10" t="s">
        <v>133</v>
      </c>
      <c r="D184" s="34">
        <v>18050</v>
      </c>
      <c r="E184" s="11">
        <f t="shared" si="11"/>
        <v>2346.5</v>
      </c>
      <c r="F184" s="38">
        <f t="shared" si="17"/>
        <v>234.65</v>
      </c>
      <c r="G184" s="47">
        <f t="shared" si="12"/>
        <v>20396.5</v>
      </c>
    </row>
    <row r="185" spans="3:7" x14ac:dyDescent="0.2">
      <c r="C185" s="10" t="s">
        <v>134</v>
      </c>
      <c r="D185" s="34">
        <v>18700</v>
      </c>
      <c r="E185" s="11">
        <f t="shared" si="11"/>
        <v>2431</v>
      </c>
      <c r="F185" s="38">
        <f t="shared" si="17"/>
        <v>243.10000000000002</v>
      </c>
      <c r="G185" s="47">
        <f t="shared" si="12"/>
        <v>21131</v>
      </c>
    </row>
    <row r="186" spans="3:7" x14ac:dyDescent="0.2">
      <c r="C186" s="10" t="s">
        <v>135</v>
      </c>
      <c r="D186" s="34">
        <v>17212</v>
      </c>
      <c r="E186" s="11">
        <f t="shared" si="11"/>
        <v>2237.56</v>
      </c>
      <c r="F186" s="38">
        <f t="shared" si="17"/>
        <v>223.756</v>
      </c>
      <c r="G186" s="47">
        <f t="shared" si="12"/>
        <v>19449.560000000001</v>
      </c>
    </row>
    <row r="187" spans="3:7" x14ac:dyDescent="0.2">
      <c r="C187" s="10" t="s">
        <v>136</v>
      </c>
      <c r="D187" s="34">
        <v>14560</v>
      </c>
      <c r="E187" s="11">
        <f t="shared" si="11"/>
        <v>1892.8</v>
      </c>
      <c r="F187" s="38">
        <f t="shared" si="17"/>
        <v>189.28</v>
      </c>
      <c r="G187" s="47">
        <f t="shared" si="12"/>
        <v>16452.8</v>
      </c>
    </row>
    <row r="188" spans="3:7" x14ac:dyDescent="0.2">
      <c r="C188" s="10" t="s">
        <v>137</v>
      </c>
      <c r="D188" s="34">
        <v>17215</v>
      </c>
      <c r="E188" s="11">
        <f t="shared" ref="E188:E242" si="18">+D188*13%</f>
        <v>2237.9500000000003</v>
      </c>
      <c r="F188" s="38">
        <f t="shared" si="17"/>
        <v>223.79500000000004</v>
      </c>
      <c r="G188" s="47">
        <f t="shared" ref="G188:G242" si="19">+D188+E188</f>
        <v>19452.95</v>
      </c>
    </row>
    <row r="189" spans="3:7" x14ac:dyDescent="0.2">
      <c r="C189" s="10" t="s">
        <v>532</v>
      </c>
      <c r="D189" s="34">
        <v>14050</v>
      </c>
      <c r="E189" s="11">
        <f t="shared" si="18"/>
        <v>1826.5</v>
      </c>
      <c r="F189" s="37">
        <v>15150</v>
      </c>
      <c r="G189" s="47">
        <f t="shared" si="19"/>
        <v>15876.5</v>
      </c>
    </row>
    <row r="190" spans="3:7" x14ac:dyDescent="0.2">
      <c r="C190" s="10" t="s">
        <v>138</v>
      </c>
      <c r="D190" s="34">
        <v>32700</v>
      </c>
      <c r="E190" s="11">
        <f t="shared" si="18"/>
        <v>4251</v>
      </c>
      <c r="F190" s="37">
        <v>38450</v>
      </c>
      <c r="G190" s="47">
        <f t="shared" si="19"/>
        <v>36951</v>
      </c>
    </row>
    <row r="191" spans="3:7" x14ac:dyDescent="0.2">
      <c r="C191" s="10" t="s">
        <v>596</v>
      </c>
      <c r="D191" s="34">
        <v>35525</v>
      </c>
      <c r="E191" s="11">
        <f t="shared" si="18"/>
        <v>4618.25</v>
      </c>
      <c r="F191" s="38"/>
      <c r="G191" s="47">
        <f t="shared" si="19"/>
        <v>40143.25</v>
      </c>
    </row>
    <row r="192" spans="3:7" x14ac:dyDescent="0.2">
      <c r="C192" s="10" t="s">
        <v>139</v>
      </c>
      <c r="D192" s="34">
        <v>11250</v>
      </c>
      <c r="E192" s="11">
        <f t="shared" si="18"/>
        <v>1462.5</v>
      </c>
      <c r="F192" s="35">
        <f t="shared" si="17"/>
        <v>146.25</v>
      </c>
      <c r="G192" s="47">
        <f t="shared" si="19"/>
        <v>12712.5</v>
      </c>
    </row>
    <row r="193" spans="3:7" x14ac:dyDescent="0.2">
      <c r="C193" s="10" t="s">
        <v>559</v>
      </c>
      <c r="D193" s="34">
        <v>14870</v>
      </c>
      <c r="E193" s="11">
        <f t="shared" si="18"/>
        <v>1933.1000000000001</v>
      </c>
      <c r="F193" s="35"/>
      <c r="G193" s="47">
        <f t="shared" si="19"/>
        <v>16803.099999999999</v>
      </c>
    </row>
    <row r="194" spans="3:7" x14ac:dyDescent="0.2">
      <c r="C194" s="10" t="s">
        <v>490</v>
      </c>
      <c r="D194" s="34">
        <v>3875</v>
      </c>
      <c r="E194" s="11">
        <f t="shared" si="18"/>
        <v>503.75</v>
      </c>
      <c r="F194" s="35">
        <f t="shared" si="17"/>
        <v>50.375</v>
      </c>
      <c r="G194" s="47">
        <f t="shared" si="19"/>
        <v>4378.75</v>
      </c>
    </row>
    <row r="195" spans="3:7" x14ac:dyDescent="0.2">
      <c r="C195" s="10" t="s">
        <v>489</v>
      </c>
      <c r="D195" s="34">
        <v>7775</v>
      </c>
      <c r="E195" s="11">
        <f t="shared" si="18"/>
        <v>1010.75</v>
      </c>
      <c r="F195" s="38">
        <f t="shared" si="17"/>
        <v>101.075</v>
      </c>
      <c r="G195" s="47">
        <f t="shared" si="19"/>
        <v>8785.75</v>
      </c>
    </row>
    <row r="196" spans="3:7" x14ac:dyDescent="0.2">
      <c r="C196" s="10" t="s">
        <v>140</v>
      </c>
      <c r="D196" s="34">
        <v>13585</v>
      </c>
      <c r="E196" s="11">
        <f t="shared" si="18"/>
        <v>1766.05</v>
      </c>
      <c r="F196" s="38">
        <f t="shared" si="17"/>
        <v>176.60500000000002</v>
      </c>
      <c r="G196" s="47">
        <f t="shared" si="19"/>
        <v>15351.05</v>
      </c>
    </row>
    <row r="197" spans="3:7" x14ac:dyDescent="0.2">
      <c r="C197" s="10" t="s">
        <v>141</v>
      </c>
      <c r="D197" s="34">
        <v>23525</v>
      </c>
      <c r="E197" s="11">
        <f t="shared" si="18"/>
        <v>3058.25</v>
      </c>
      <c r="F197" s="37">
        <v>27800</v>
      </c>
      <c r="G197" s="47">
        <f t="shared" si="19"/>
        <v>26583.25</v>
      </c>
    </row>
    <row r="198" spans="3:7" x14ac:dyDescent="0.2">
      <c r="C198" s="10" t="s">
        <v>535</v>
      </c>
      <c r="D198" s="34">
        <v>28500</v>
      </c>
      <c r="E198" s="11">
        <f t="shared" si="18"/>
        <v>3705</v>
      </c>
      <c r="F198" s="38">
        <f t="shared" ref="F198" si="20">+E198*$F$12</f>
        <v>370.5</v>
      </c>
      <c r="G198" s="47">
        <f t="shared" si="19"/>
        <v>32205</v>
      </c>
    </row>
    <row r="199" spans="3:7" x14ac:dyDescent="0.2">
      <c r="C199" s="10" t="s">
        <v>142</v>
      </c>
      <c r="D199" s="34">
        <v>16085</v>
      </c>
      <c r="E199" s="11">
        <f t="shared" si="18"/>
        <v>2091.0500000000002</v>
      </c>
      <c r="F199" s="36">
        <f t="shared" si="17"/>
        <v>209.10500000000002</v>
      </c>
      <c r="G199" s="47">
        <f t="shared" si="19"/>
        <v>18176.05</v>
      </c>
    </row>
    <row r="200" spans="3:7" x14ac:dyDescent="0.2">
      <c r="C200" s="10" t="s">
        <v>143</v>
      </c>
      <c r="D200" s="34">
        <v>1605</v>
      </c>
      <c r="E200" s="11">
        <f t="shared" si="18"/>
        <v>208.65</v>
      </c>
      <c r="F200" s="35">
        <f t="shared" si="17"/>
        <v>20.865000000000002</v>
      </c>
      <c r="G200" s="47">
        <f t="shared" si="19"/>
        <v>1813.65</v>
      </c>
    </row>
    <row r="201" spans="3:7" x14ac:dyDescent="0.2">
      <c r="C201" s="10" t="s">
        <v>144</v>
      </c>
      <c r="D201" s="34">
        <v>3750</v>
      </c>
      <c r="E201" s="11">
        <f t="shared" si="18"/>
        <v>487.5</v>
      </c>
      <c r="F201" s="37">
        <v>4850</v>
      </c>
      <c r="G201" s="47">
        <f t="shared" si="19"/>
        <v>4237.5</v>
      </c>
    </row>
    <row r="202" spans="3:7" x14ac:dyDescent="0.2">
      <c r="C202" s="10" t="s">
        <v>554</v>
      </c>
      <c r="D202" s="34">
        <v>3010</v>
      </c>
      <c r="E202" s="11">
        <f t="shared" si="18"/>
        <v>391.3</v>
      </c>
      <c r="F202" s="35">
        <f t="shared" si="17"/>
        <v>39.130000000000003</v>
      </c>
      <c r="G202" s="47">
        <f t="shared" si="19"/>
        <v>3401.3</v>
      </c>
    </row>
    <row r="203" spans="3:7" x14ac:dyDescent="0.2">
      <c r="C203" s="10" t="s">
        <v>145</v>
      </c>
      <c r="D203" s="34">
        <v>1650</v>
      </c>
      <c r="E203" s="11">
        <f t="shared" si="18"/>
        <v>214.5</v>
      </c>
      <c r="F203" s="38">
        <f t="shared" si="17"/>
        <v>21.450000000000003</v>
      </c>
      <c r="G203" s="47">
        <f t="shared" si="19"/>
        <v>1864.5</v>
      </c>
    </row>
    <row r="204" spans="3:7" x14ac:dyDescent="0.2">
      <c r="C204" s="10" t="s">
        <v>146</v>
      </c>
      <c r="D204" s="34">
        <v>3200</v>
      </c>
      <c r="E204" s="11">
        <f t="shared" si="18"/>
        <v>416</v>
      </c>
      <c r="F204" s="37">
        <v>5350</v>
      </c>
      <c r="G204" s="47">
        <f t="shared" si="19"/>
        <v>3616</v>
      </c>
    </row>
    <row r="205" spans="3:7" x14ac:dyDescent="0.2">
      <c r="C205" s="10" t="s">
        <v>147</v>
      </c>
      <c r="D205" s="34">
        <v>7700</v>
      </c>
      <c r="E205" s="11">
        <f t="shared" si="18"/>
        <v>1001</v>
      </c>
      <c r="F205" s="39">
        <v>11900</v>
      </c>
      <c r="G205" s="47">
        <f t="shared" si="19"/>
        <v>8701</v>
      </c>
    </row>
    <row r="206" spans="3:7" x14ac:dyDescent="0.2">
      <c r="C206" s="10" t="s">
        <v>476</v>
      </c>
      <c r="D206" s="34">
        <v>2255</v>
      </c>
      <c r="E206" s="11">
        <f t="shared" si="18"/>
        <v>293.15000000000003</v>
      </c>
      <c r="F206" s="35">
        <f t="shared" ref="F206:F221" si="21">+E207*$F$12</f>
        <v>48.620000000000005</v>
      </c>
      <c r="G206" s="47">
        <f t="shared" si="19"/>
        <v>2548.15</v>
      </c>
    </row>
    <row r="207" spans="3:7" x14ac:dyDescent="0.2">
      <c r="C207" s="10" t="s">
        <v>148</v>
      </c>
      <c r="D207" s="34">
        <v>3740</v>
      </c>
      <c r="E207" s="11">
        <f t="shared" si="18"/>
        <v>486.2</v>
      </c>
      <c r="F207" s="35">
        <f t="shared" si="21"/>
        <v>78.39</v>
      </c>
      <c r="G207" s="47">
        <f t="shared" si="19"/>
        <v>4226.2</v>
      </c>
    </row>
    <row r="208" spans="3:7" x14ac:dyDescent="0.2">
      <c r="C208" s="10" t="s">
        <v>149</v>
      </c>
      <c r="D208" s="34">
        <v>6030</v>
      </c>
      <c r="E208" s="11">
        <f t="shared" si="18"/>
        <v>783.9</v>
      </c>
      <c r="F208" s="36">
        <f t="shared" si="21"/>
        <v>100.23000000000002</v>
      </c>
      <c r="G208" s="47">
        <f t="shared" si="19"/>
        <v>6813.9</v>
      </c>
    </row>
    <row r="209" spans="3:13" x14ac:dyDescent="0.2">
      <c r="C209" s="10" t="s">
        <v>150</v>
      </c>
      <c r="D209" s="34">
        <v>7710</v>
      </c>
      <c r="E209" s="11">
        <f t="shared" si="18"/>
        <v>1002.3000000000001</v>
      </c>
      <c r="F209" s="36">
        <f t="shared" si="21"/>
        <v>189.47500000000002</v>
      </c>
      <c r="G209" s="47">
        <f t="shared" si="19"/>
        <v>8712.2999999999993</v>
      </c>
      <c r="I209" s="9"/>
      <c r="J209" s="15"/>
      <c r="K209" s="15"/>
      <c r="M209" s="16"/>
    </row>
    <row r="210" spans="3:13" ht="12" customHeight="1" x14ac:dyDescent="0.2">
      <c r="C210" s="10" t="s">
        <v>151</v>
      </c>
      <c r="D210" s="34">
        <v>14575</v>
      </c>
      <c r="E210" s="11">
        <f t="shared" si="18"/>
        <v>1894.75</v>
      </c>
      <c r="F210" s="36" t="e">
        <f>+#REF!*$F$12</f>
        <v>#REF!</v>
      </c>
      <c r="G210" s="47">
        <f t="shared" si="19"/>
        <v>16469.75</v>
      </c>
      <c r="I210" s="9"/>
      <c r="J210" s="15"/>
      <c r="K210" s="15"/>
      <c r="M210" s="16"/>
    </row>
    <row r="211" spans="3:13" x14ac:dyDescent="0.2">
      <c r="C211" s="10" t="s">
        <v>152</v>
      </c>
      <c r="D211" s="34">
        <v>7265</v>
      </c>
      <c r="E211" s="11">
        <f t="shared" si="18"/>
        <v>944.45</v>
      </c>
      <c r="F211" s="36">
        <f t="shared" si="21"/>
        <v>74.814999999999998</v>
      </c>
      <c r="G211" s="47">
        <f t="shared" si="19"/>
        <v>8209.4500000000007</v>
      </c>
    </row>
    <row r="212" spans="3:13" x14ac:dyDescent="0.2">
      <c r="C212" s="10" t="s">
        <v>153</v>
      </c>
      <c r="D212" s="34">
        <v>5755</v>
      </c>
      <c r="E212" s="11">
        <f t="shared" si="18"/>
        <v>748.15</v>
      </c>
      <c r="F212" s="36">
        <f t="shared" si="21"/>
        <v>74.814999999999998</v>
      </c>
      <c r="G212" s="47">
        <f t="shared" si="19"/>
        <v>6503.15</v>
      </c>
    </row>
    <row r="213" spans="3:13" x14ac:dyDescent="0.2">
      <c r="C213" s="10" t="s">
        <v>154</v>
      </c>
      <c r="D213" s="34">
        <v>5755</v>
      </c>
      <c r="E213" s="11">
        <f t="shared" si="18"/>
        <v>748.15</v>
      </c>
      <c r="F213" s="36">
        <f t="shared" si="21"/>
        <v>74.814999999999998</v>
      </c>
      <c r="G213" s="47">
        <f t="shared" si="19"/>
        <v>6503.15</v>
      </c>
    </row>
    <row r="214" spans="3:13" x14ac:dyDescent="0.2">
      <c r="C214" s="10" t="s">
        <v>155</v>
      </c>
      <c r="D214" s="34">
        <v>5755</v>
      </c>
      <c r="E214" s="11">
        <f t="shared" si="18"/>
        <v>748.15</v>
      </c>
      <c r="F214" s="36" t="e">
        <f>+#REF!*$F$12</f>
        <v>#REF!</v>
      </c>
      <c r="G214" s="47">
        <f t="shared" si="19"/>
        <v>6503.15</v>
      </c>
    </row>
    <row r="215" spans="3:13" x14ac:dyDescent="0.2">
      <c r="C215" s="10" t="s">
        <v>614</v>
      </c>
      <c r="D215" s="34">
        <v>8025</v>
      </c>
      <c r="E215" s="11">
        <f t="shared" si="18"/>
        <v>1043.25</v>
      </c>
      <c r="F215" s="36"/>
      <c r="G215" s="47">
        <f t="shared" si="19"/>
        <v>9068.25</v>
      </c>
    </row>
    <row r="216" spans="3:13" x14ac:dyDescent="0.2">
      <c r="C216" s="10" t="s">
        <v>156</v>
      </c>
      <c r="D216" s="34">
        <v>14250</v>
      </c>
      <c r="E216" s="11">
        <f t="shared" si="18"/>
        <v>1852.5</v>
      </c>
      <c r="F216" s="35">
        <f t="shared" si="21"/>
        <v>202.15</v>
      </c>
      <c r="G216" s="47">
        <f t="shared" si="19"/>
        <v>16102.5</v>
      </c>
    </row>
    <row r="217" spans="3:13" x14ac:dyDescent="0.2">
      <c r="C217" s="10" t="s">
        <v>157</v>
      </c>
      <c r="D217" s="34">
        <v>15550</v>
      </c>
      <c r="E217" s="11">
        <f t="shared" si="18"/>
        <v>2021.5</v>
      </c>
      <c r="F217" s="35">
        <f t="shared" si="21"/>
        <v>823.55000000000007</v>
      </c>
      <c r="G217" s="47">
        <f t="shared" si="19"/>
        <v>17571.5</v>
      </c>
    </row>
    <row r="218" spans="3:13" x14ac:dyDescent="0.2">
      <c r="C218" s="10" t="s">
        <v>158</v>
      </c>
      <c r="D218" s="34">
        <v>63350</v>
      </c>
      <c r="E218" s="11">
        <f t="shared" si="18"/>
        <v>8235.5</v>
      </c>
      <c r="F218" s="35">
        <f>+E221*$F$12</f>
        <v>237.38000000000002</v>
      </c>
      <c r="G218" s="47">
        <f t="shared" si="19"/>
        <v>71585.5</v>
      </c>
    </row>
    <row r="219" spans="3:13" x14ac:dyDescent="0.2">
      <c r="C219" s="10" t="s">
        <v>616</v>
      </c>
      <c r="D219" s="34">
        <v>2100</v>
      </c>
      <c r="E219" s="11">
        <f t="shared" si="18"/>
        <v>273</v>
      </c>
      <c r="F219" s="35"/>
      <c r="G219" s="47">
        <f t="shared" si="19"/>
        <v>2373</v>
      </c>
    </row>
    <row r="220" spans="3:13" x14ac:dyDescent="0.2">
      <c r="C220" s="10" t="s">
        <v>664</v>
      </c>
      <c r="D220" s="34">
        <v>6000</v>
      </c>
      <c r="E220" s="11">
        <f t="shared" si="18"/>
        <v>780</v>
      </c>
      <c r="F220" s="35"/>
      <c r="G220" s="47">
        <f t="shared" si="19"/>
        <v>6780</v>
      </c>
    </row>
    <row r="221" spans="3:13" x14ac:dyDescent="0.2">
      <c r="C221" s="10" t="s">
        <v>475</v>
      </c>
      <c r="D221" s="34">
        <v>18260</v>
      </c>
      <c r="E221" s="11">
        <f t="shared" si="18"/>
        <v>2373.8000000000002</v>
      </c>
      <c r="F221" s="35">
        <f t="shared" si="21"/>
        <v>198.18500000000003</v>
      </c>
      <c r="G221" s="47">
        <f t="shared" si="19"/>
        <v>20633.8</v>
      </c>
    </row>
    <row r="222" spans="3:13" x14ac:dyDescent="0.2">
      <c r="C222" s="10" t="s">
        <v>585</v>
      </c>
      <c r="D222" s="34">
        <v>15245</v>
      </c>
      <c r="E222" s="11">
        <f t="shared" si="18"/>
        <v>1981.8500000000001</v>
      </c>
      <c r="F222" s="35" t="e">
        <f>+#REF!*$F$12</f>
        <v>#REF!</v>
      </c>
      <c r="G222" s="47">
        <f t="shared" si="19"/>
        <v>17226.849999999999</v>
      </c>
    </row>
    <row r="223" spans="3:13" x14ac:dyDescent="0.2">
      <c r="C223" s="10" t="s">
        <v>615</v>
      </c>
      <c r="D223" s="34">
        <v>28500</v>
      </c>
      <c r="E223" s="11">
        <f t="shared" si="18"/>
        <v>3705</v>
      </c>
      <c r="F223" s="35"/>
      <c r="G223" s="47">
        <f>+D223+E223</f>
        <v>32205</v>
      </c>
    </row>
    <row r="224" spans="3:13" x14ac:dyDescent="0.2">
      <c r="C224" s="10" t="s">
        <v>570</v>
      </c>
      <c r="D224" s="34">
        <v>3925</v>
      </c>
      <c r="E224" s="11">
        <f t="shared" si="18"/>
        <v>510.25</v>
      </c>
      <c r="F224" s="35"/>
      <c r="G224" s="47">
        <f t="shared" si="19"/>
        <v>4435.25</v>
      </c>
    </row>
    <row r="225" spans="3:7" x14ac:dyDescent="0.2">
      <c r="C225" s="10" t="s">
        <v>159</v>
      </c>
      <c r="D225" s="34">
        <v>15965</v>
      </c>
      <c r="E225" s="11">
        <f t="shared" si="18"/>
        <v>2075.4500000000003</v>
      </c>
      <c r="F225" s="36">
        <f>+E226*$F$12</f>
        <v>160.29000000000002</v>
      </c>
      <c r="G225" s="47">
        <f t="shared" si="19"/>
        <v>18040.45</v>
      </c>
    </row>
    <row r="226" spans="3:7" x14ac:dyDescent="0.2">
      <c r="C226" s="10" t="s">
        <v>160</v>
      </c>
      <c r="D226" s="34">
        <v>12330</v>
      </c>
      <c r="E226" s="11">
        <f t="shared" si="18"/>
        <v>1602.9</v>
      </c>
      <c r="F226" s="36">
        <f>+E229*$F$12</f>
        <v>470.34000000000009</v>
      </c>
      <c r="G226" s="47">
        <f t="shared" si="19"/>
        <v>13932.9</v>
      </c>
    </row>
    <row r="227" spans="3:7" x14ac:dyDescent="0.2">
      <c r="C227" s="10" t="s">
        <v>617</v>
      </c>
      <c r="D227" s="34">
        <v>6485</v>
      </c>
      <c r="E227" s="11">
        <f t="shared" si="18"/>
        <v>843.05000000000007</v>
      </c>
      <c r="F227" s="36"/>
      <c r="G227" s="47">
        <f t="shared" si="19"/>
        <v>7328.05</v>
      </c>
    </row>
    <row r="228" spans="3:7" x14ac:dyDescent="0.2">
      <c r="C228" s="10" t="s">
        <v>618</v>
      </c>
      <c r="D228" s="34">
        <v>13220</v>
      </c>
      <c r="E228" s="11">
        <f t="shared" si="18"/>
        <v>1718.6000000000001</v>
      </c>
      <c r="F228" s="36"/>
      <c r="G228" s="47">
        <f t="shared" si="19"/>
        <v>14938.6</v>
      </c>
    </row>
    <row r="229" spans="3:7" x14ac:dyDescent="0.2">
      <c r="C229" s="10" t="s">
        <v>161</v>
      </c>
      <c r="D229" s="34">
        <v>36180</v>
      </c>
      <c r="E229" s="11">
        <f t="shared" si="18"/>
        <v>4703.4000000000005</v>
      </c>
      <c r="F229" s="36" t="e">
        <f>+#REF!*$F$12</f>
        <v>#REF!</v>
      </c>
      <c r="G229" s="47">
        <f t="shared" si="19"/>
        <v>40883.4</v>
      </c>
    </row>
    <row r="230" spans="3:7" x14ac:dyDescent="0.2">
      <c r="C230" s="10" t="s">
        <v>619</v>
      </c>
      <c r="D230" s="34">
        <v>26450</v>
      </c>
      <c r="E230" s="11">
        <f t="shared" si="18"/>
        <v>3438.5</v>
      </c>
      <c r="F230" s="36"/>
      <c r="G230" s="47">
        <f t="shared" si="19"/>
        <v>29888.5</v>
      </c>
    </row>
    <row r="231" spans="3:7" x14ac:dyDescent="0.2">
      <c r="C231" s="10" t="s">
        <v>621</v>
      </c>
      <c r="D231" s="34">
        <v>25650</v>
      </c>
      <c r="E231" s="11">
        <f t="shared" si="18"/>
        <v>3334.5</v>
      </c>
      <c r="F231" s="36"/>
      <c r="G231" s="47">
        <f t="shared" si="19"/>
        <v>28984.5</v>
      </c>
    </row>
    <row r="232" spans="3:7" x14ac:dyDescent="0.2">
      <c r="C232" s="10" t="s">
        <v>620</v>
      </c>
      <c r="D232" s="34">
        <v>24185</v>
      </c>
      <c r="E232" s="11">
        <f t="shared" si="18"/>
        <v>3144.05</v>
      </c>
      <c r="F232" s="36"/>
      <c r="G232" s="47">
        <f t="shared" si="19"/>
        <v>27329.05</v>
      </c>
    </row>
    <row r="233" spans="3:7" x14ac:dyDescent="0.2">
      <c r="C233" s="10" t="s">
        <v>478</v>
      </c>
      <c r="D233" s="34">
        <v>7123.89</v>
      </c>
      <c r="E233" s="11">
        <f t="shared" si="18"/>
        <v>926.10570000000007</v>
      </c>
      <c r="F233" s="36"/>
      <c r="G233" s="47">
        <f t="shared" si="19"/>
        <v>8049.9957000000004</v>
      </c>
    </row>
    <row r="234" spans="3:7" x14ac:dyDescent="0.2">
      <c r="C234" s="21" t="s">
        <v>6</v>
      </c>
      <c r="D234" s="14"/>
      <c r="E234" s="11"/>
      <c r="F234" s="38" t="e">
        <f>+#REF!*$F$12</f>
        <v>#REF!</v>
      </c>
      <c r="G234" s="13"/>
    </row>
    <row r="235" spans="3:7" x14ac:dyDescent="0.2">
      <c r="C235" s="10" t="s">
        <v>162</v>
      </c>
      <c r="D235" s="34">
        <v>27000</v>
      </c>
      <c r="E235" s="11">
        <f t="shared" si="18"/>
        <v>3510</v>
      </c>
      <c r="F235" s="35">
        <f>+E237*$F$12</f>
        <v>227.30500000000004</v>
      </c>
      <c r="G235" s="47">
        <f t="shared" si="19"/>
        <v>30510</v>
      </c>
    </row>
    <row r="236" spans="3:7" x14ac:dyDescent="0.2">
      <c r="C236" s="10" t="s">
        <v>827</v>
      </c>
      <c r="D236" s="34">
        <v>23930</v>
      </c>
      <c r="E236" s="11">
        <f t="shared" si="18"/>
        <v>3110.9</v>
      </c>
      <c r="F236" s="35"/>
      <c r="G236" s="47">
        <f t="shared" si="19"/>
        <v>27040.9</v>
      </c>
    </row>
    <row r="237" spans="3:7" x14ac:dyDescent="0.2">
      <c r="C237" s="10" t="s">
        <v>163</v>
      </c>
      <c r="D237" s="34">
        <v>17485</v>
      </c>
      <c r="E237" s="11">
        <f t="shared" si="18"/>
        <v>2273.0500000000002</v>
      </c>
      <c r="F237" s="35">
        <f>+E242*$F$12</f>
        <v>160.16000000000003</v>
      </c>
      <c r="G237" s="47">
        <f t="shared" si="19"/>
        <v>19758.05</v>
      </c>
    </row>
    <row r="238" spans="3:7" x14ac:dyDescent="0.2">
      <c r="C238" s="10" t="s">
        <v>164</v>
      </c>
      <c r="D238" s="34">
        <v>25525</v>
      </c>
      <c r="E238" s="11">
        <f t="shared" si="18"/>
        <v>3318.25</v>
      </c>
      <c r="F238" s="35"/>
      <c r="G238" s="47">
        <f t="shared" si="19"/>
        <v>28843.25</v>
      </c>
    </row>
    <row r="239" spans="3:7" x14ac:dyDescent="0.2">
      <c r="C239" s="10" t="s">
        <v>528</v>
      </c>
      <c r="D239" s="34">
        <v>17485</v>
      </c>
      <c r="E239" s="11">
        <f t="shared" si="18"/>
        <v>2273.0500000000002</v>
      </c>
      <c r="F239" s="35"/>
      <c r="G239" s="47">
        <f t="shared" si="19"/>
        <v>19758.05</v>
      </c>
    </row>
    <row r="240" spans="3:7" x14ac:dyDescent="0.2">
      <c r="C240" s="10" t="s">
        <v>527</v>
      </c>
      <c r="D240" s="34">
        <v>8850</v>
      </c>
      <c r="E240" s="11">
        <f t="shared" si="18"/>
        <v>1150.5</v>
      </c>
      <c r="F240" s="35"/>
      <c r="G240" s="47">
        <f t="shared" si="19"/>
        <v>10000.5</v>
      </c>
    </row>
    <row r="241" spans="3:7" x14ac:dyDescent="0.2">
      <c r="C241" s="10" t="s">
        <v>582</v>
      </c>
      <c r="D241" s="34">
        <v>12320</v>
      </c>
      <c r="E241" s="11">
        <f t="shared" si="18"/>
        <v>1601.6000000000001</v>
      </c>
      <c r="F241" s="35"/>
      <c r="G241" s="47">
        <f t="shared" si="19"/>
        <v>13921.6</v>
      </c>
    </row>
    <row r="242" spans="3:7" x14ac:dyDescent="0.2">
      <c r="C242" s="10" t="s">
        <v>555</v>
      </c>
      <c r="D242" s="34">
        <v>12320</v>
      </c>
      <c r="E242" s="11">
        <f t="shared" si="18"/>
        <v>1601.6000000000001</v>
      </c>
      <c r="F242" s="37">
        <v>16870</v>
      </c>
      <c r="G242" s="47">
        <f t="shared" si="19"/>
        <v>13921.6</v>
      </c>
    </row>
    <row r="243" spans="3:7" x14ac:dyDescent="0.2">
      <c r="C243" s="10" t="s">
        <v>556</v>
      </c>
      <c r="D243" s="34">
        <v>11435</v>
      </c>
      <c r="E243" s="11">
        <f t="shared" ref="E243:E310" si="22">+D243*13%</f>
        <v>1486.55</v>
      </c>
      <c r="F243" s="35">
        <f t="shared" ref="F243:F273" si="23">+E244*$F$12</f>
        <v>158.21000000000004</v>
      </c>
      <c r="G243" s="47">
        <f t="shared" ref="G243:G310" si="24">+D243+E243</f>
        <v>12921.55</v>
      </c>
    </row>
    <row r="244" spans="3:7" x14ac:dyDescent="0.2">
      <c r="C244" s="10" t="s">
        <v>165</v>
      </c>
      <c r="D244" s="34">
        <v>12170</v>
      </c>
      <c r="E244" s="11">
        <f t="shared" si="22"/>
        <v>1582.1000000000001</v>
      </c>
      <c r="F244" s="35">
        <f t="shared" si="23"/>
        <v>220.35000000000002</v>
      </c>
      <c r="G244" s="47">
        <f t="shared" si="24"/>
        <v>13752.1</v>
      </c>
    </row>
    <row r="245" spans="3:7" x14ac:dyDescent="0.2">
      <c r="C245" s="10" t="s">
        <v>166</v>
      </c>
      <c r="D245" s="34">
        <v>16950</v>
      </c>
      <c r="E245" s="11">
        <f t="shared" si="22"/>
        <v>2203.5</v>
      </c>
      <c r="F245" s="36">
        <f>+E250*$F$12</f>
        <v>351</v>
      </c>
      <c r="G245" s="47">
        <f t="shared" si="24"/>
        <v>19153.5</v>
      </c>
    </row>
    <row r="246" spans="3:7" x14ac:dyDescent="0.2">
      <c r="C246" s="10" t="s">
        <v>530</v>
      </c>
      <c r="D246" s="34">
        <v>27865</v>
      </c>
      <c r="E246" s="11">
        <f t="shared" si="22"/>
        <v>3622.4500000000003</v>
      </c>
      <c r="F246" s="35"/>
      <c r="G246" s="47">
        <f t="shared" si="24"/>
        <v>31487.45</v>
      </c>
    </row>
    <row r="247" spans="3:7" x14ac:dyDescent="0.2">
      <c r="C247" s="10" t="s">
        <v>565</v>
      </c>
      <c r="D247" s="34">
        <v>25010</v>
      </c>
      <c r="E247" s="11">
        <f t="shared" si="22"/>
        <v>3251.3</v>
      </c>
      <c r="F247" s="35"/>
      <c r="G247" s="47">
        <f t="shared" si="24"/>
        <v>28261.3</v>
      </c>
    </row>
    <row r="248" spans="3:7" x14ac:dyDescent="0.2">
      <c r="C248" s="10" t="s">
        <v>566</v>
      </c>
      <c r="D248" s="34">
        <v>29140</v>
      </c>
      <c r="E248" s="11">
        <f t="shared" si="22"/>
        <v>3788.2000000000003</v>
      </c>
      <c r="F248" s="35"/>
      <c r="G248" s="47">
        <f t="shared" si="24"/>
        <v>32928.199999999997</v>
      </c>
    </row>
    <row r="249" spans="3:7" x14ac:dyDescent="0.2">
      <c r="C249" s="10" t="s">
        <v>567</v>
      </c>
      <c r="D249" s="34">
        <v>36550</v>
      </c>
      <c r="E249" s="11">
        <f t="shared" si="22"/>
        <v>4751.5</v>
      </c>
      <c r="F249" s="37">
        <v>39700</v>
      </c>
      <c r="G249" s="47">
        <f t="shared" si="24"/>
        <v>41301.5</v>
      </c>
    </row>
    <row r="250" spans="3:7" x14ac:dyDescent="0.2">
      <c r="C250" s="10" t="s">
        <v>167</v>
      </c>
      <c r="D250" s="34">
        <v>27000</v>
      </c>
      <c r="E250" s="11">
        <f t="shared" si="22"/>
        <v>3510</v>
      </c>
      <c r="F250" s="35">
        <f t="shared" si="23"/>
        <v>403</v>
      </c>
      <c r="G250" s="47">
        <f t="shared" si="24"/>
        <v>30510</v>
      </c>
    </row>
    <row r="251" spans="3:7" x14ac:dyDescent="0.2">
      <c r="C251" s="10" t="s">
        <v>168</v>
      </c>
      <c r="D251" s="34">
        <v>31000</v>
      </c>
      <c r="E251" s="11">
        <f t="shared" si="22"/>
        <v>4030</v>
      </c>
      <c r="F251" s="35">
        <f t="shared" si="23"/>
        <v>430.3</v>
      </c>
      <c r="G251" s="47">
        <f t="shared" si="24"/>
        <v>35030</v>
      </c>
    </row>
    <row r="252" spans="3:7" x14ac:dyDescent="0.2">
      <c r="C252" s="10" t="s">
        <v>169</v>
      </c>
      <c r="D252" s="34">
        <v>33100</v>
      </c>
      <c r="E252" s="11">
        <f t="shared" si="22"/>
        <v>4303</v>
      </c>
      <c r="F252" s="37">
        <v>53900</v>
      </c>
      <c r="G252" s="47">
        <f t="shared" si="24"/>
        <v>37403</v>
      </c>
    </row>
    <row r="253" spans="3:7" x14ac:dyDescent="0.2">
      <c r="C253" s="10" t="s">
        <v>170</v>
      </c>
      <c r="D253" s="34">
        <v>120875</v>
      </c>
      <c r="E253" s="11">
        <f t="shared" si="22"/>
        <v>15713.75</v>
      </c>
      <c r="F253" s="35">
        <f>+E255*$F$12</f>
        <v>110.69500000000001</v>
      </c>
      <c r="G253" s="47">
        <f t="shared" si="24"/>
        <v>136588.75</v>
      </c>
    </row>
    <row r="254" spans="3:7" x14ac:dyDescent="0.2">
      <c r="C254" s="10" t="s">
        <v>515</v>
      </c>
      <c r="D254" s="34">
        <v>51695</v>
      </c>
      <c r="E254" s="11">
        <f t="shared" si="22"/>
        <v>6720.35</v>
      </c>
      <c r="F254" s="35"/>
      <c r="G254" s="47">
        <f t="shared" si="24"/>
        <v>58415.35</v>
      </c>
    </row>
    <row r="255" spans="3:7" x14ac:dyDescent="0.2">
      <c r="C255" s="10" t="s">
        <v>171</v>
      </c>
      <c r="D255" s="34">
        <v>8515</v>
      </c>
      <c r="E255" s="11">
        <f t="shared" si="22"/>
        <v>1106.95</v>
      </c>
      <c r="F255" s="37">
        <v>8565</v>
      </c>
      <c r="G255" s="47">
        <f t="shared" si="24"/>
        <v>9621.9500000000007</v>
      </c>
    </row>
    <row r="256" spans="3:7" x14ac:dyDescent="0.2">
      <c r="C256" s="10" t="s">
        <v>485</v>
      </c>
      <c r="D256" s="34">
        <v>48410</v>
      </c>
      <c r="E256" s="11">
        <f t="shared" si="22"/>
        <v>6293.3</v>
      </c>
      <c r="F256" s="35"/>
      <c r="G256" s="47">
        <f t="shared" si="24"/>
        <v>54703.3</v>
      </c>
    </row>
    <row r="257" spans="3:7" x14ac:dyDescent="0.2">
      <c r="C257" s="10" t="s">
        <v>172</v>
      </c>
      <c r="D257" s="34">
        <v>31500</v>
      </c>
      <c r="E257" s="11">
        <f t="shared" si="22"/>
        <v>4095</v>
      </c>
      <c r="F257" s="35">
        <f>+E259*$F$12</f>
        <v>444.86000000000007</v>
      </c>
      <c r="G257" s="47">
        <f t="shared" si="24"/>
        <v>35595</v>
      </c>
    </row>
    <row r="258" spans="3:7" x14ac:dyDescent="0.2">
      <c r="C258" s="10" t="s">
        <v>697</v>
      </c>
      <c r="D258" s="34">
        <v>4040</v>
      </c>
      <c r="E258" s="11">
        <f t="shared" si="22"/>
        <v>525.20000000000005</v>
      </c>
      <c r="F258" s="35"/>
      <c r="G258" s="47">
        <f t="shared" si="24"/>
        <v>4565.2</v>
      </c>
    </row>
    <row r="259" spans="3:7" x14ac:dyDescent="0.2">
      <c r="C259" s="10" t="s">
        <v>173</v>
      </c>
      <c r="D259" s="34">
        <v>34220</v>
      </c>
      <c r="E259" s="11">
        <f t="shared" si="22"/>
        <v>4448.6000000000004</v>
      </c>
      <c r="F259" s="35">
        <f>+E261*$F$12</f>
        <v>130.65</v>
      </c>
      <c r="G259" s="47">
        <f t="shared" si="24"/>
        <v>38668.6</v>
      </c>
    </row>
    <row r="260" spans="3:7" x14ac:dyDescent="0.2">
      <c r="C260" s="10" t="s">
        <v>484</v>
      </c>
      <c r="D260" s="43">
        <v>48410</v>
      </c>
      <c r="E260" s="11">
        <f t="shared" si="22"/>
        <v>6293.3</v>
      </c>
      <c r="F260" s="36"/>
      <c r="G260" s="47">
        <f t="shared" si="24"/>
        <v>54703.3</v>
      </c>
    </row>
    <row r="261" spans="3:7" x14ac:dyDescent="0.2">
      <c r="C261" s="10" t="s">
        <v>174</v>
      </c>
      <c r="D261" s="34">
        <v>10050</v>
      </c>
      <c r="E261" s="11">
        <f t="shared" si="22"/>
        <v>1306.5</v>
      </c>
      <c r="F261" s="36">
        <f>+E263*$F$12</f>
        <v>137.15</v>
      </c>
      <c r="G261" s="47">
        <f t="shared" si="24"/>
        <v>11356.5</v>
      </c>
    </row>
    <row r="262" spans="3:7" x14ac:dyDescent="0.2">
      <c r="C262" s="10" t="s">
        <v>569</v>
      </c>
      <c r="D262" s="34">
        <v>9275</v>
      </c>
      <c r="E262" s="11">
        <f t="shared" si="22"/>
        <v>1205.75</v>
      </c>
      <c r="F262" s="36"/>
      <c r="G262" s="47">
        <f t="shared" si="24"/>
        <v>10480.75</v>
      </c>
    </row>
    <row r="263" spans="3:7" x14ac:dyDescent="0.2">
      <c r="C263" s="10" t="s">
        <v>175</v>
      </c>
      <c r="D263" s="34">
        <v>10550</v>
      </c>
      <c r="E263" s="11">
        <f t="shared" si="22"/>
        <v>1371.5</v>
      </c>
      <c r="F263" s="36">
        <f>+E265*$F$12</f>
        <v>216.125</v>
      </c>
      <c r="G263" s="47">
        <f t="shared" si="24"/>
        <v>11921.5</v>
      </c>
    </row>
    <row r="264" spans="3:7" x14ac:dyDescent="0.2">
      <c r="C264" s="10" t="s">
        <v>583</v>
      </c>
      <c r="D264" s="34">
        <v>9275</v>
      </c>
      <c r="E264" s="11">
        <f t="shared" si="22"/>
        <v>1205.75</v>
      </c>
      <c r="F264" s="36"/>
      <c r="G264" s="47">
        <f t="shared" si="24"/>
        <v>10480.75</v>
      </c>
    </row>
    <row r="265" spans="3:7" x14ac:dyDescent="0.2">
      <c r="C265" s="10" t="s">
        <v>176</v>
      </c>
      <c r="D265" s="34">
        <v>16625</v>
      </c>
      <c r="E265" s="11">
        <f t="shared" si="22"/>
        <v>2161.25</v>
      </c>
      <c r="F265" s="37">
        <v>19350</v>
      </c>
      <c r="G265" s="47">
        <f t="shared" si="24"/>
        <v>18786.25</v>
      </c>
    </row>
    <row r="266" spans="3:7" x14ac:dyDescent="0.2">
      <c r="C266" s="10" t="s">
        <v>600</v>
      </c>
      <c r="D266" s="34">
        <v>3615</v>
      </c>
      <c r="E266" s="11">
        <f t="shared" si="22"/>
        <v>469.95</v>
      </c>
      <c r="F266" s="36"/>
      <c r="G266" s="47">
        <f t="shared" si="24"/>
        <v>4084.95</v>
      </c>
    </row>
    <row r="267" spans="3:7" x14ac:dyDescent="0.2">
      <c r="C267" s="10" t="s">
        <v>177</v>
      </c>
      <c r="D267" s="34">
        <v>13120</v>
      </c>
      <c r="E267" s="11">
        <f t="shared" si="22"/>
        <v>1705.6000000000001</v>
      </c>
      <c r="F267" s="35">
        <f>+E268*$F$12</f>
        <v>177.51500000000001</v>
      </c>
      <c r="G267" s="47">
        <f t="shared" si="24"/>
        <v>14825.6</v>
      </c>
    </row>
    <row r="268" spans="3:7" x14ac:dyDescent="0.2">
      <c r="C268" s="10" t="s">
        <v>178</v>
      </c>
      <c r="D268" s="34">
        <v>13655</v>
      </c>
      <c r="E268" s="11">
        <f t="shared" si="22"/>
        <v>1775.15</v>
      </c>
      <c r="F268" s="35">
        <f t="shared" si="23"/>
        <v>168.61</v>
      </c>
      <c r="G268" s="47">
        <f t="shared" si="24"/>
        <v>15430.15</v>
      </c>
    </row>
    <row r="269" spans="3:7" x14ac:dyDescent="0.2">
      <c r="C269" s="10" t="s">
        <v>179</v>
      </c>
      <c r="D269" s="34">
        <v>12970</v>
      </c>
      <c r="E269" s="11">
        <f t="shared" si="22"/>
        <v>1686.1000000000001</v>
      </c>
      <c r="F269" s="35" t="e">
        <f>+#REF!*$F$12</f>
        <v>#REF!</v>
      </c>
      <c r="G269" s="47">
        <f t="shared" si="24"/>
        <v>14656.1</v>
      </c>
    </row>
    <row r="270" spans="3:7" x14ac:dyDescent="0.2">
      <c r="C270" s="10" t="s">
        <v>622</v>
      </c>
      <c r="D270" s="34">
        <v>15690</v>
      </c>
      <c r="E270" s="11">
        <f t="shared" si="22"/>
        <v>2039.7</v>
      </c>
      <c r="F270" s="35"/>
      <c r="G270" s="47">
        <f t="shared" si="24"/>
        <v>17729.7</v>
      </c>
    </row>
    <row r="271" spans="3:7" x14ac:dyDescent="0.2">
      <c r="C271" s="10" t="s">
        <v>522</v>
      </c>
      <c r="D271" s="34">
        <v>47500</v>
      </c>
      <c r="E271" s="11">
        <f t="shared" si="22"/>
        <v>6175</v>
      </c>
      <c r="F271" s="36"/>
      <c r="G271" s="47">
        <f t="shared" si="24"/>
        <v>53675</v>
      </c>
    </row>
    <row r="272" spans="3:7" x14ac:dyDescent="0.2">
      <c r="C272" s="10" t="s">
        <v>180</v>
      </c>
      <c r="D272" s="34">
        <v>19500</v>
      </c>
      <c r="E272" s="11">
        <f t="shared" si="22"/>
        <v>2535</v>
      </c>
      <c r="F272" s="35">
        <f t="shared" si="23"/>
        <v>302.83499999999998</v>
      </c>
      <c r="G272" s="47">
        <f t="shared" si="24"/>
        <v>22035</v>
      </c>
    </row>
    <row r="273" spans="3:7" x14ac:dyDescent="0.2">
      <c r="C273" s="10" t="s">
        <v>557</v>
      </c>
      <c r="D273" s="34">
        <v>23295</v>
      </c>
      <c r="E273" s="11">
        <f t="shared" si="22"/>
        <v>3028.35</v>
      </c>
      <c r="F273" s="35">
        <f t="shared" si="23"/>
        <v>381.68000000000006</v>
      </c>
      <c r="G273" s="47">
        <f t="shared" si="24"/>
        <v>26323.35</v>
      </c>
    </row>
    <row r="274" spans="3:7" x14ac:dyDescent="0.2">
      <c r="C274" s="10" t="s">
        <v>181</v>
      </c>
      <c r="D274" s="34">
        <v>29360</v>
      </c>
      <c r="E274" s="11">
        <f t="shared" si="22"/>
        <v>3816.8</v>
      </c>
      <c r="F274" s="35" t="e">
        <f>+#REF!*$F$12</f>
        <v>#REF!</v>
      </c>
      <c r="G274" s="47">
        <f t="shared" si="24"/>
        <v>33176.800000000003</v>
      </c>
    </row>
    <row r="275" spans="3:7" x14ac:dyDescent="0.2">
      <c r="C275" s="10" t="s">
        <v>182</v>
      </c>
      <c r="D275" s="34">
        <v>40665</v>
      </c>
      <c r="E275" s="11">
        <f t="shared" si="22"/>
        <v>5286.45</v>
      </c>
      <c r="F275" s="36">
        <f>+E276*$F$12</f>
        <v>567.97</v>
      </c>
      <c r="G275" s="47">
        <f t="shared" si="24"/>
        <v>45951.45</v>
      </c>
    </row>
    <row r="276" spans="3:7" x14ac:dyDescent="0.2">
      <c r="C276" s="10" t="s">
        <v>183</v>
      </c>
      <c r="D276" s="34">
        <v>43690</v>
      </c>
      <c r="E276" s="11">
        <f t="shared" si="22"/>
        <v>5679.7</v>
      </c>
      <c r="F276" s="36">
        <f t="shared" ref="F276:F278" si="25">+E277*$F$12</f>
        <v>676.19500000000005</v>
      </c>
      <c r="G276" s="47">
        <f t="shared" si="24"/>
        <v>49369.7</v>
      </c>
    </row>
    <row r="277" spans="3:7" x14ac:dyDescent="0.2">
      <c r="C277" s="10" t="s">
        <v>184</v>
      </c>
      <c r="D277" s="34">
        <v>52015</v>
      </c>
      <c r="E277" s="11">
        <f t="shared" si="22"/>
        <v>6761.95</v>
      </c>
      <c r="F277" s="36" t="e">
        <f>+#REF!*$F$12</f>
        <v>#REF!</v>
      </c>
      <c r="G277" s="47">
        <f t="shared" si="24"/>
        <v>58776.95</v>
      </c>
    </row>
    <row r="278" spans="3:7" x14ac:dyDescent="0.2">
      <c r="C278" s="10" t="s">
        <v>185</v>
      </c>
      <c r="D278" s="34">
        <v>5600</v>
      </c>
      <c r="E278" s="11">
        <f t="shared" si="22"/>
        <v>728</v>
      </c>
      <c r="F278" s="35">
        <f t="shared" si="25"/>
        <v>72.8</v>
      </c>
      <c r="G278" s="47">
        <f t="shared" si="24"/>
        <v>6328</v>
      </c>
    </row>
    <row r="279" spans="3:7" x14ac:dyDescent="0.2">
      <c r="C279" s="10" t="s">
        <v>186</v>
      </c>
      <c r="D279" s="34">
        <v>5600</v>
      </c>
      <c r="E279" s="11">
        <f t="shared" si="22"/>
        <v>728</v>
      </c>
      <c r="F279" s="35" t="e">
        <f>+#REF!*$F$12</f>
        <v>#REF!</v>
      </c>
      <c r="G279" s="47">
        <f t="shared" si="24"/>
        <v>6328</v>
      </c>
    </row>
    <row r="280" spans="3:7" x14ac:dyDescent="0.2">
      <c r="C280" s="10" t="s">
        <v>187</v>
      </c>
      <c r="D280" s="34">
        <v>36815</v>
      </c>
      <c r="E280" s="11">
        <f t="shared" si="22"/>
        <v>4785.95</v>
      </c>
      <c r="F280" s="36" t="e">
        <f>+#REF!*$F$12</f>
        <v>#REF!</v>
      </c>
      <c r="G280" s="47">
        <f t="shared" si="24"/>
        <v>41600.949999999997</v>
      </c>
    </row>
    <row r="281" spans="3:7" x14ac:dyDescent="0.2">
      <c r="C281" s="10" t="s">
        <v>188</v>
      </c>
      <c r="D281" s="34">
        <v>16845</v>
      </c>
      <c r="E281" s="11">
        <f t="shared" si="22"/>
        <v>2189.85</v>
      </c>
      <c r="F281" s="35">
        <f>+E283*$F$12</f>
        <v>300.3</v>
      </c>
      <c r="G281" s="47">
        <f t="shared" si="24"/>
        <v>19034.849999999999</v>
      </c>
    </row>
    <row r="282" spans="3:7" x14ac:dyDescent="0.2">
      <c r="C282" s="10" t="s">
        <v>605</v>
      </c>
      <c r="D282" s="34">
        <v>22370</v>
      </c>
      <c r="E282" s="11">
        <f t="shared" si="22"/>
        <v>2908.1</v>
      </c>
      <c r="F282" s="37">
        <v>13900</v>
      </c>
      <c r="G282" s="47">
        <f t="shared" si="24"/>
        <v>25278.1</v>
      </c>
    </row>
    <row r="283" spans="3:7" x14ac:dyDescent="0.2">
      <c r="C283" s="10" t="s">
        <v>189</v>
      </c>
      <c r="D283" s="34">
        <v>23100</v>
      </c>
      <c r="E283" s="11">
        <f t="shared" si="22"/>
        <v>3003</v>
      </c>
      <c r="F283" s="36">
        <f>+E284*$F$12</f>
        <v>189.28</v>
      </c>
      <c r="G283" s="47">
        <f t="shared" si="24"/>
        <v>26103</v>
      </c>
    </row>
    <row r="284" spans="3:7" x14ac:dyDescent="0.2">
      <c r="C284" s="10" t="s">
        <v>190</v>
      </c>
      <c r="D284" s="34">
        <v>14560</v>
      </c>
      <c r="E284" s="11">
        <f t="shared" si="22"/>
        <v>1892.8</v>
      </c>
      <c r="F284" s="35" t="e">
        <f>+#REF!*$F$12</f>
        <v>#REF!</v>
      </c>
      <c r="G284" s="47">
        <f t="shared" si="24"/>
        <v>16452.8</v>
      </c>
    </row>
    <row r="285" spans="3:7" x14ac:dyDescent="0.2">
      <c r="C285" s="10" t="s">
        <v>660</v>
      </c>
      <c r="D285" s="34">
        <v>22370</v>
      </c>
      <c r="E285" s="11">
        <f t="shared" ref="E285:E292" si="26">+D285*13%</f>
        <v>2908.1</v>
      </c>
      <c r="F285" s="35"/>
      <c r="G285" s="47">
        <f t="shared" ref="G285:G292" si="27">+D285+E285</f>
        <v>25278.1</v>
      </c>
    </row>
    <row r="286" spans="3:7" x14ac:dyDescent="0.2">
      <c r="C286" s="10" t="s">
        <v>661</v>
      </c>
      <c r="D286" s="34">
        <v>25650</v>
      </c>
      <c r="E286" s="11">
        <f t="shared" si="26"/>
        <v>3334.5</v>
      </c>
      <c r="F286" s="35"/>
      <c r="G286" s="47">
        <f t="shared" si="27"/>
        <v>28984.5</v>
      </c>
    </row>
    <row r="287" spans="3:7" x14ac:dyDescent="0.2">
      <c r="C287" s="10" t="s">
        <v>662</v>
      </c>
      <c r="D287" s="34">
        <v>27760</v>
      </c>
      <c r="E287" s="11">
        <f t="shared" si="26"/>
        <v>3608.8</v>
      </c>
      <c r="F287" s="35"/>
      <c r="G287" s="47">
        <f t="shared" si="27"/>
        <v>31368.799999999999</v>
      </c>
    </row>
    <row r="288" spans="3:7" x14ac:dyDescent="0.2">
      <c r="C288" s="10" t="s">
        <v>675</v>
      </c>
      <c r="D288" s="34">
        <v>26290</v>
      </c>
      <c r="E288" s="11">
        <f t="shared" si="26"/>
        <v>3417.7000000000003</v>
      </c>
      <c r="F288" s="35"/>
      <c r="G288" s="47">
        <f t="shared" si="27"/>
        <v>29707.7</v>
      </c>
    </row>
    <row r="289" spans="3:7" x14ac:dyDescent="0.2">
      <c r="C289" s="10" t="s">
        <v>676</v>
      </c>
      <c r="D289" s="34">
        <v>28110</v>
      </c>
      <c r="E289" s="11">
        <f t="shared" si="26"/>
        <v>3654.3</v>
      </c>
      <c r="F289" s="35"/>
      <c r="G289" s="47">
        <f t="shared" si="27"/>
        <v>31764.3</v>
      </c>
    </row>
    <row r="290" spans="3:7" x14ac:dyDescent="0.2">
      <c r="C290" s="10" t="s">
        <v>677</v>
      </c>
      <c r="D290" s="34">
        <v>19815</v>
      </c>
      <c r="E290" s="11">
        <f t="shared" si="26"/>
        <v>2575.9500000000003</v>
      </c>
      <c r="F290" s="35"/>
      <c r="G290" s="47">
        <f t="shared" si="27"/>
        <v>22390.95</v>
      </c>
    </row>
    <row r="291" spans="3:7" x14ac:dyDescent="0.2">
      <c r="C291" s="10" t="s">
        <v>678</v>
      </c>
      <c r="D291" s="34">
        <v>21630</v>
      </c>
      <c r="E291" s="11">
        <f t="shared" si="26"/>
        <v>2811.9</v>
      </c>
      <c r="F291" s="35"/>
      <c r="G291" s="47">
        <f t="shared" si="27"/>
        <v>24441.9</v>
      </c>
    </row>
    <row r="292" spans="3:7" x14ac:dyDescent="0.2">
      <c r="C292" s="10" t="s">
        <v>679</v>
      </c>
      <c r="D292" s="34">
        <v>9250</v>
      </c>
      <c r="E292" s="11">
        <f t="shared" si="26"/>
        <v>1202.5</v>
      </c>
      <c r="F292" s="35"/>
      <c r="G292" s="47">
        <f t="shared" si="27"/>
        <v>10452.5</v>
      </c>
    </row>
    <row r="293" spans="3:7" x14ac:dyDescent="0.2">
      <c r="C293" s="10" t="s">
        <v>680</v>
      </c>
      <c r="D293" s="34">
        <v>8325</v>
      </c>
      <c r="E293" s="11">
        <f>+D293*13%</f>
        <v>1082.25</v>
      </c>
      <c r="F293" s="35"/>
      <c r="G293" s="47">
        <f>+D293+E293</f>
        <v>9407.25</v>
      </c>
    </row>
    <row r="294" spans="3:7" x14ac:dyDescent="0.2">
      <c r="C294" s="10" t="s">
        <v>695</v>
      </c>
      <c r="D294" s="34">
        <v>29030</v>
      </c>
      <c r="E294" s="11">
        <f t="shared" ref="E294:E301" si="28">+D294*13%</f>
        <v>3773.9</v>
      </c>
      <c r="F294" s="35"/>
      <c r="G294" s="47">
        <f t="shared" ref="G294:G301" si="29">+D294+E294</f>
        <v>32803.9</v>
      </c>
    </row>
    <row r="295" spans="3:7" x14ac:dyDescent="0.2">
      <c r="C295" s="10" t="s">
        <v>698</v>
      </c>
      <c r="D295" s="34">
        <v>4605</v>
      </c>
      <c r="E295" s="11">
        <f t="shared" si="28"/>
        <v>598.65</v>
      </c>
      <c r="F295" s="35"/>
      <c r="G295" s="47">
        <f t="shared" si="29"/>
        <v>5203.6499999999996</v>
      </c>
    </row>
    <row r="296" spans="3:7" x14ac:dyDescent="0.2">
      <c r="C296" s="10" t="s">
        <v>696</v>
      </c>
      <c r="D296" s="34">
        <v>33600</v>
      </c>
      <c r="E296" s="11">
        <f t="shared" si="28"/>
        <v>4368</v>
      </c>
      <c r="F296" s="35"/>
      <c r="G296" s="47">
        <f t="shared" si="29"/>
        <v>37968</v>
      </c>
    </row>
    <row r="297" spans="3:7" x14ac:dyDescent="0.2">
      <c r="C297" s="10" t="s">
        <v>707</v>
      </c>
      <c r="D297" s="34">
        <v>16420</v>
      </c>
      <c r="E297" s="11">
        <f t="shared" si="28"/>
        <v>2134.6</v>
      </c>
      <c r="F297" s="35"/>
      <c r="G297" s="47">
        <f t="shared" si="29"/>
        <v>18554.599999999999</v>
      </c>
    </row>
    <row r="298" spans="3:7" x14ac:dyDescent="0.2">
      <c r="C298" s="10" t="s">
        <v>709</v>
      </c>
      <c r="D298" s="34">
        <v>25650</v>
      </c>
      <c r="E298" s="11">
        <f t="shared" si="28"/>
        <v>3334.5</v>
      </c>
      <c r="F298" s="35"/>
      <c r="G298" s="47">
        <f t="shared" si="29"/>
        <v>28984.5</v>
      </c>
    </row>
    <row r="299" spans="3:7" x14ac:dyDescent="0.2">
      <c r="C299" s="10" t="s">
        <v>708</v>
      </c>
      <c r="D299" s="34">
        <v>17955</v>
      </c>
      <c r="E299" s="11">
        <f t="shared" si="28"/>
        <v>2334.15</v>
      </c>
      <c r="F299" s="36"/>
      <c r="G299" s="47">
        <f t="shared" si="29"/>
        <v>20289.150000000001</v>
      </c>
    </row>
    <row r="300" spans="3:7" x14ac:dyDescent="0.2">
      <c r="C300" s="10" t="s">
        <v>832</v>
      </c>
      <c r="D300" s="34">
        <v>15365</v>
      </c>
      <c r="E300" s="11">
        <f t="shared" si="28"/>
        <v>1997.45</v>
      </c>
      <c r="F300" s="36"/>
      <c r="G300" s="47">
        <f t="shared" si="29"/>
        <v>17362.45</v>
      </c>
    </row>
    <row r="301" spans="3:7" x14ac:dyDescent="0.2">
      <c r="C301" s="10" t="s">
        <v>833</v>
      </c>
      <c r="D301" s="34">
        <v>13250</v>
      </c>
      <c r="E301" s="11">
        <f t="shared" si="28"/>
        <v>1722.5</v>
      </c>
      <c r="F301" s="36"/>
      <c r="G301" s="47">
        <f t="shared" si="29"/>
        <v>14972.5</v>
      </c>
    </row>
    <row r="302" spans="3:7" x14ac:dyDescent="0.2">
      <c r="C302" s="21" t="s">
        <v>575</v>
      </c>
      <c r="D302" s="11"/>
      <c r="E302" s="11"/>
      <c r="F302" s="38"/>
      <c r="G302" s="13"/>
    </row>
    <row r="303" spans="3:7" x14ac:dyDescent="0.2">
      <c r="C303" s="10" t="s">
        <v>710</v>
      </c>
      <c r="D303" s="34">
        <v>20095</v>
      </c>
      <c r="E303" s="11">
        <f t="shared" si="22"/>
        <v>2612.35</v>
      </c>
      <c r="F303" s="35"/>
      <c r="G303" s="47">
        <f t="shared" si="24"/>
        <v>22707.35</v>
      </c>
    </row>
    <row r="304" spans="3:7" x14ac:dyDescent="0.2">
      <c r="C304" s="10" t="s">
        <v>663</v>
      </c>
      <c r="D304" s="34">
        <v>46395</v>
      </c>
      <c r="E304" s="11">
        <f t="shared" si="22"/>
        <v>6031.35</v>
      </c>
      <c r="F304" s="35"/>
      <c r="G304" s="47">
        <f t="shared" si="24"/>
        <v>52426.35</v>
      </c>
    </row>
    <row r="305" spans="3:7" x14ac:dyDescent="0.2">
      <c r="C305" s="10" t="s">
        <v>576</v>
      </c>
      <c r="D305" s="34">
        <v>31990</v>
      </c>
      <c r="E305" s="11">
        <f t="shared" si="22"/>
        <v>4158.7</v>
      </c>
      <c r="F305" s="37">
        <v>36600</v>
      </c>
      <c r="G305" s="47">
        <f t="shared" si="24"/>
        <v>36148.699999999997</v>
      </c>
    </row>
    <row r="306" spans="3:7" x14ac:dyDescent="0.2">
      <c r="C306" s="10" t="s">
        <v>481</v>
      </c>
      <c r="D306" s="34">
        <v>29300</v>
      </c>
      <c r="E306" s="11">
        <f t="shared" si="22"/>
        <v>3809</v>
      </c>
      <c r="F306" s="35"/>
      <c r="G306" s="47">
        <f t="shared" si="24"/>
        <v>33109</v>
      </c>
    </row>
    <row r="307" spans="3:7" x14ac:dyDescent="0.2">
      <c r="C307" s="10" t="s">
        <v>482</v>
      </c>
      <c r="D307" s="34">
        <v>33500</v>
      </c>
      <c r="E307" s="11">
        <f t="shared" si="22"/>
        <v>4355</v>
      </c>
      <c r="F307" s="36"/>
      <c r="G307" s="47">
        <f t="shared" si="24"/>
        <v>37855</v>
      </c>
    </row>
    <row r="308" spans="3:7" x14ac:dyDescent="0.2">
      <c r="C308" s="10" t="s">
        <v>584</v>
      </c>
      <c r="D308" s="34">
        <v>29340</v>
      </c>
      <c r="E308" s="11">
        <f t="shared" si="22"/>
        <v>3814.2000000000003</v>
      </c>
      <c r="F308" s="35"/>
      <c r="G308" s="47">
        <f t="shared" si="24"/>
        <v>33154.199999999997</v>
      </c>
    </row>
    <row r="309" spans="3:7" x14ac:dyDescent="0.2">
      <c r="C309" s="10" t="s">
        <v>623</v>
      </c>
      <c r="D309" s="34">
        <v>17745</v>
      </c>
      <c r="E309" s="11">
        <f t="shared" si="22"/>
        <v>2306.85</v>
      </c>
      <c r="F309" s="35"/>
      <c r="G309" s="47">
        <f t="shared" si="24"/>
        <v>20051.849999999999</v>
      </c>
    </row>
    <row r="310" spans="3:7" x14ac:dyDescent="0.2">
      <c r="C310" s="10" t="s">
        <v>624</v>
      </c>
      <c r="D310" s="34">
        <v>16685</v>
      </c>
      <c r="E310" s="11">
        <f t="shared" si="22"/>
        <v>2169.0500000000002</v>
      </c>
      <c r="F310" s="35"/>
      <c r="G310" s="47">
        <f t="shared" si="24"/>
        <v>18854.05</v>
      </c>
    </row>
    <row r="311" spans="3:7" x14ac:dyDescent="0.2">
      <c r="C311" s="10" t="s">
        <v>639</v>
      </c>
      <c r="D311" s="34">
        <v>31015</v>
      </c>
      <c r="E311" s="11">
        <f t="shared" ref="E311:E371" si="30">+D311*13%</f>
        <v>4031.9500000000003</v>
      </c>
      <c r="F311" s="37">
        <v>31000</v>
      </c>
      <c r="G311" s="47">
        <f t="shared" ref="G311:G371" si="31">+D311+E311</f>
        <v>35046.949999999997</v>
      </c>
    </row>
    <row r="312" spans="3:7" x14ac:dyDescent="0.2">
      <c r="C312" s="10" t="s">
        <v>640</v>
      </c>
      <c r="D312" s="34">
        <v>38940</v>
      </c>
      <c r="E312" s="11">
        <f t="shared" si="30"/>
        <v>5062.2</v>
      </c>
      <c r="F312" s="35"/>
      <c r="G312" s="47">
        <f t="shared" si="31"/>
        <v>44002.2</v>
      </c>
    </row>
    <row r="313" spans="3:7" x14ac:dyDescent="0.2">
      <c r="C313" s="10" t="s">
        <v>671</v>
      </c>
      <c r="D313" s="34">
        <v>26100</v>
      </c>
      <c r="E313" s="11">
        <f t="shared" si="30"/>
        <v>3393</v>
      </c>
      <c r="F313" s="35"/>
      <c r="G313" s="47">
        <f t="shared" si="31"/>
        <v>29493</v>
      </c>
    </row>
    <row r="314" spans="3:7" x14ac:dyDescent="0.2">
      <c r="C314" s="10" t="s">
        <v>674</v>
      </c>
      <c r="D314" s="34">
        <v>28200</v>
      </c>
      <c r="E314" s="11">
        <f t="shared" si="30"/>
        <v>3666</v>
      </c>
      <c r="F314" s="35"/>
      <c r="G314" s="47">
        <f t="shared" si="31"/>
        <v>31866</v>
      </c>
    </row>
    <row r="315" spans="3:7" x14ac:dyDescent="0.2">
      <c r="C315" s="10" t="s">
        <v>822</v>
      </c>
      <c r="D315" s="34">
        <v>38095</v>
      </c>
      <c r="E315" s="11">
        <f t="shared" si="30"/>
        <v>4952.3500000000004</v>
      </c>
      <c r="F315" s="35"/>
      <c r="G315" s="47">
        <f t="shared" si="31"/>
        <v>43047.35</v>
      </c>
    </row>
    <row r="316" spans="3:7" x14ac:dyDescent="0.2">
      <c r="C316" s="26" t="s">
        <v>7</v>
      </c>
      <c r="D316" s="14"/>
      <c r="E316" s="11"/>
      <c r="F316" s="40">
        <f t="shared" ref="F316:F337" si="32">+E317*$F$12</f>
        <v>0</v>
      </c>
      <c r="G316" s="13"/>
    </row>
    <row r="317" spans="3:7" x14ac:dyDescent="0.2">
      <c r="C317" s="10" t="s">
        <v>2</v>
      </c>
      <c r="D317" s="45" t="s">
        <v>3</v>
      </c>
      <c r="E317" s="11"/>
      <c r="F317" s="36">
        <f t="shared" si="32"/>
        <v>214.5</v>
      </c>
      <c r="G317" s="13"/>
    </row>
    <row r="318" spans="3:7" x14ac:dyDescent="0.2">
      <c r="C318" s="10" t="s">
        <v>191</v>
      </c>
      <c r="D318" s="34">
        <v>16500</v>
      </c>
      <c r="E318" s="11">
        <f t="shared" si="30"/>
        <v>2145</v>
      </c>
      <c r="F318" s="35">
        <f t="shared" si="32"/>
        <v>253.5</v>
      </c>
      <c r="G318" s="47">
        <f t="shared" si="31"/>
        <v>18645</v>
      </c>
    </row>
    <row r="319" spans="3:7" x14ac:dyDescent="0.2">
      <c r="C319" s="10" t="s">
        <v>192</v>
      </c>
      <c r="D319" s="34">
        <v>19500</v>
      </c>
      <c r="E319" s="11">
        <f t="shared" si="30"/>
        <v>2535</v>
      </c>
      <c r="F319" s="35">
        <f>+E321*$F$12</f>
        <v>203.06000000000003</v>
      </c>
      <c r="G319" s="47">
        <f t="shared" si="31"/>
        <v>22035</v>
      </c>
    </row>
    <row r="320" spans="3:7" x14ac:dyDescent="0.2">
      <c r="C320" s="10" t="s">
        <v>577</v>
      </c>
      <c r="D320" s="34">
        <v>15490</v>
      </c>
      <c r="E320" s="11">
        <f t="shared" si="30"/>
        <v>2013.7</v>
      </c>
      <c r="F320" s="35"/>
      <c r="G320" s="47">
        <f t="shared" si="31"/>
        <v>17503.7</v>
      </c>
    </row>
    <row r="321" spans="3:7" x14ac:dyDescent="0.2">
      <c r="C321" s="10" t="s">
        <v>193</v>
      </c>
      <c r="D321" s="34">
        <v>15620</v>
      </c>
      <c r="E321" s="11">
        <f t="shared" si="30"/>
        <v>2030.6000000000001</v>
      </c>
      <c r="F321" s="35">
        <f t="shared" si="32"/>
        <v>227.5</v>
      </c>
      <c r="G321" s="47">
        <f t="shared" si="31"/>
        <v>17650.599999999999</v>
      </c>
    </row>
    <row r="322" spans="3:7" x14ac:dyDescent="0.2">
      <c r="C322" s="10" t="s">
        <v>194</v>
      </c>
      <c r="D322" s="34">
        <v>17500</v>
      </c>
      <c r="E322" s="11">
        <f t="shared" si="30"/>
        <v>2275</v>
      </c>
      <c r="F322" s="37">
        <v>0</v>
      </c>
      <c r="G322" s="47">
        <f t="shared" si="31"/>
        <v>19775</v>
      </c>
    </row>
    <row r="323" spans="3:7" x14ac:dyDescent="0.2">
      <c r="C323" s="10" t="s">
        <v>195</v>
      </c>
      <c r="D323" s="34">
        <v>11950</v>
      </c>
      <c r="E323" s="11">
        <f t="shared" si="30"/>
        <v>1553.5</v>
      </c>
      <c r="F323" s="35">
        <f>+E325*$F$12</f>
        <v>207.48000000000002</v>
      </c>
      <c r="G323" s="47">
        <f t="shared" si="31"/>
        <v>13503.5</v>
      </c>
    </row>
    <row r="324" spans="3:7" x14ac:dyDescent="0.2">
      <c r="C324" s="10" t="s">
        <v>473</v>
      </c>
      <c r="D324" s="34">
        <v>13810</v>
      </c>
      <c r="E324" s="11">
        <f t="shared" si="30"/>
        <v>1795.3</v>
      </c>
      <c r="F324" s="35">
        <f>+E326*$F$12</f>
        <v>165.10000000000002</v>
      </c>
      <c r="G324" s="47">
        <f t="shared" si="31"/>
        <v>15605.3</v>
      </c>
    </row>
    <row r="325" spans="3:7" x14ac:dyDescent="0.2">
      <c r="C325" s="10" t="s">
        <v>196</v>
      </c>
      <c r="D325" s="34">
        <v>15960</v>
      </c>
      <c r="E325" s="11">
        <f t="shared" si="30"/>
        <v>2074.8000000000002</v>
      </c>
      <c r="F325" s="35">
        <f t="shared" si="32"/>
        <v>165.10000000000002</v>
      </c>
      <c r="G325" s="47">
        <f t="shared" si="31"/>
        <v>18034.8</v>
      </c>
    </row>
    <row r="326" spans="3:7" x14ac:dyDescent="0.2">
      <c r="C326" s="10" t="s">
        <v>711</v>
      </c>
      <c r="D326" s="34">
        <v>12700</v>
      </c>
      <c r="E326" s="11">
        <f t="shared" si="30"/>
        <v>1651</v>
      </c>
      <c r="F326" s="37">
        <v>14700</v>
      </c>
      <c r="G326" s="47">
        <f t="shared" si="31"/>
        <v>14351</v>
      </c>
    </row>
    <row r="327" spans="3:7" x14ac:dyDescent="0.2">
      <c r="C327" s="10" t="s">
        <v>197</v>
      </c>
      <c r="D327" s="34">
        <v>4065</v>
      </c>
      <c r="E327" s="11">
        <f t="shared" si="30"/>
        <v>528.45000000000005</v>
      </c>
      <c r="F327" s="35">
        <f t="shared" si="32"/>
        <v>92.300000000000011</v>
      </c>
      <c r="G327" s="47">
        <f t="shared" si="31"/>
        <v>4593.45</v>
      </c>
    </row>
    <row r="328" spans="3:7" x14ac:dyDescent="0.2">
      <c r="C328" s="10" t="s">
        <v>198</v>
      </c>
      <c r="D328" s="34">
        <v>7100</v>
      </c>
      <c r="E328" s="11">
        <f t="shared" si="30"/>
        <v>923</v>
      </c>
      <c r="F328" s="37">
        <v>7650</v>
      </c>
      <c r="G328" s="47">
        <f t="shared" si="31"/>
        <v>8023</v>
      </c>
    </row>
    <row r="329" spans="3:7" x14ac:dyDescent="0.2">
      <c r="C329" s="10" t="s">
        <v>199</v>
      </c>
      <c r="D329" s="34">
        <v>12220</v>
      </c>
      <c r="E329" s="11">
        <f t="shared" si="30"/>
        <v>1588.6000000000001</v>
      </c>
      <c r="F329" s="35">
        <f t="shared" si="32"/>
        <v>194.61</v>
      </c>
      <c r="G329" s="47">
        <f t="shared" si="31"/>
        <v>13808.6</v>
      </c>
    </row>
    <row r="330" spans="3:7" x14ac:dyDescent="0.2">
      <c r="C330" s="10" t="s">
        <v>200</v>
      </c>
      <c r="D330" s="34">
        <v>14970</v>
      </c>
      <c r="E330" s="11">
        <f t="shared" si="30"/>
        <v>1946.1000000000001</v>
      </c>
      <c r="F330" s="35" t="e">
        <f>+#REF!*$F$12</f>
        <v>#REF!</v>
      </c>
      <c r="G330" s="47">
        <f t="shared" si="31"/>
        <v>16916.099999999999</v>
      </c>
    </row>
    <row r="331" spans="3:7" x14ac:dyDescent="0.2">
      <c r="C331" s="10" t="s">
        <v>346</v>
      </c>
      <c r="D331" s="34">
        <v>7700</v>
      </c>
      <c r="E331" s="11">
        <f t="shared" si="30"/>
        <v>1001</v>
      </c>
      <c r="F331" s="35">
        <f t="shared" si="32"/>
        <v>100.42500000000001</v>
      </c>
      <c r="G331" s="47">
        <f t="shared" si="31"/>
        <v>8701</v>
      </c>
    </row>
    <row r="332" spans="3:7" x14ac:dyDescent="0.2">
      <c r="C332" s="10" t="s">
        <v>201</v>
      </c>
      <c r="D332" s="34">
        <v>7725</v>
      </c>
      <c r="E332" s="11">
        <f t="shared" si="30"/>
        <v>1004.25</v>
      </c>
      <c r="F332" s="35">
        <f t="shared" si="32"/>
        <v>100.685</v>
      </c>
      <c r="G332" s="47">
        <f t="shared" si="31"/>
        <v>8729.25</v>
      </c>
    </row>
    <row r="333" spans="3:7" x14ac:dyDescent="0.2">
      <c r="C333" s="10" t="s">
        <v>202</v>
      </c>
      <c r="D333" s="34">
        <v>7745</v>
      </c>
      <c r="E333" s="11">
        <f t="shared" si="30"/>
        <v>1006.85</v>
      </c>
      <c r="F333" s="35" t="e">
        <f>+#REF!*$F$12</f>
        <v>#REF!</v>
      </c>
      <c r="G333" s="47">
        <f t="shared" si="31"/>
        <v>8751.85</v>
      </c>
    </row>
    <row r="334" spans="3:7" x14ac:dyDescent="0.2">
      <c r="C334" s="10" t="s">
        <v>203</v>
      </c>
      <c r="D334" s="34">
        <v>8000</v>
      </c>
      <c r="E334" s="11">
        <f t="shared" si="30"/>
        <v>1040</v>
      </c>
      <c r="F334" s="37">
        <v>8835</v>
      </c>
      <c r="G334" s="47">
        <f t="shared" si="31"/>
        <v>9040</v>
      </c>
    </row>
    <row r="335" spans="3:7" x14ac:dyDescent="0.2">
      <c r="C335" s="10" t="s">
        <v>204</v>
      </c>
      <c r="D335" s="34">
        <v>6700</v>
      </c>
      <c r="E335" s="11">
        <f t="shared" si="30"/>
        <v>871</v>
      </c>
      <c r="F335" s="35">
        <f t="shared" si="32"/>
        <v>112.125</v>
      </c>
      <c r="G335" s="47">
        <f t="shared" si="31"/>
        <v>7571</v>
      </c>
    </row>
    <row r="336" spans="3:7" x14ac:dyDescent="0.2">
      <c r="C336" s="10" t="s">
        <v>205</v>
      </c>
      <c r="D336" s="34">
        <v>8625</v>
      </c>
      <c r="E336" s="11">
        <f t="shared" si="30"/>
        <v>1121.25</v>
      </c>
      <c r="F336" s="35" t="e">
        <f>+#REF!*$F$12</f>
        <v>#REF!</v>
      </c>
      <c r="G336" s="47">
        <f t="shared" si="31"/>
        <v>9746.25</v>
      </c>
    </row>
    <row r="337" spans="3:7" x14ac:dyDescent="0.2">
      <c r="C337" s="10" t="s">
        <v>206</v>
      </c>
      <c r="D337" s="34">
        <v>6900</v>
      </c>
      <c r="E337" s="11">
        <f t="shared" si="30"/>
        <v>897</v>
      </c>
      <c r="F337" s="35">
        <f t="shared" si="32"/>
        <v>100.10000000000001</v>
      </c>
      <c r="G337" s="47">
        <f t="shared" si="31"/>
        <v>7797</v>
      </c>
    </row>
    <row r="338" spans="3:7" x14ac:dyDescent="0.2">
      <c r="C338" s="10" t="s">
        <v>207</v>
      </c>
      <c r="D338" s="34">
        <v>7700</v>
      </c>
      <c r="E338" s="11">
        <f t="shared" si="30"/>
        <v>1001</v>
      </c>
      <c r="F338" s="35" t="e">
        <f>+#REF!*$F$12</f>
        <v>#REF!</v>
      </c>
      <c r="G338" s="47">
        <f t="shared" si="31"/>
        <v>8701</v>
      </c>
    </row>
    <row r="339" spans="3:7" x14ac:dyDescent="0.2">
      <c r="C339" s="10" t="s">
        <v>208</v>
      </c>
      <c r="D339" s="34">
        <v>8850</v>
      </c>
      <c r="E339" s="11">
        <f t="shared" si="30"/>
        <v>1150.5</v>
      </c>
      <c r="F339" s="35">
        <f>+E341*$F$12</f>
        <v>128.31000000000003</v>
      </c>
      <c r="G339" s="47">
        <f t="shared" si="31"/>
        <v>10000.5</v>
      </c>
    </row>
    <row r="340" spans="3:7" x14ac:dyDescent="0.2">
      <c r="C340" s="10" t="s">
        <v>625</v>
      </c>
      <c r="D340" s="34">
        <v>9380</v>
      </c>
      <c r="E340" s="11">
        <f t="shared" si="30"/>
        <v>1219.4000000000001</v>
      </c>
      <c r="F340" s="35"/>
      <c r="G340" s="47">
        <f t="shared" si="31"/>
        <v>10599.4</v>
      </c>
    </row>
    <row r="341" spans="3:7" x14ac:dyDescent="0.2">
      <c r="C341" s="10" t="s">
        <v>209</v>
      </c>
      <c r="D341" s="34">
        <v>9870</v>
      </c>
      <c r="E341" s="11">
        <f t="shared" si="30"/>
        <v>1283.1000000000001</v>
      </c>
      <c r="F341" s="35" t="e">
        <f>+#REF!*$F$12</f>
        <v>#REF!</v>
      </c>
      <c r="G341" s="47">
        <f t="shared" si="31"/>
        <v>11153.1</v>
      </c>
    </row>
    <row r="342" spans="3:7" x14ac:dyDescent="0.2">
      <c r="C342" s="10" t="s">
        <v>458</v>
      </c>
      <c r="D342" s="34">
        <v>9700</v>
      </c>
      <c r="E342" s="11">
        <f t="shared" si="30"/>
        <v>1261</v>
      </c>
      <c r="F342" s="35">
        <f>+E343*$F$12</f>
        <v>121.66700000000002</v>
      </c>
      <c r="G342" s="47">
        <f t="shared" si="31"/>
        <v>10961</v>
      </c>
    </row>
    <row r="343" spans="3:7" x14ac:dyDescent="0.2">
      <c r="C343" s="10" t="s">
        <v>210</v>
      </c>
      <c r="D343" s="34">
        <v>9359</v>
      </c>
      <c r="E343" s="11">
        <f t="shared" si="30"/>
        <v>1216.67</v>
      </c>
      <c r="F343" s="35">
        <f>+E345*$F$12</f>
        <v>187.20000000000002</v>
      </c>
      <c r="G343" s="47">
        <f t="shared" si="31"/>
        <v>10575.67</v>
      </c>
    </row>
    <row r="344" spans="3:7" x14ac:dyDescent="0.2">
      <c r="C344" s="10" t="s">
        <v>690</v>
      </c>
      <c r="D344" s="34">
        <v>11050</v>
      </c>
      <c r="E344" s="11">
        <f t="shared" si="30"/>
        <v>1436.5</v>
      </c>
      <c r="F344" s="35"/>
      <c r="G344" s="47">
        <f t="shared" si="31"/>
        <v>12486.5</v>
      </c>
    </row>
    <row r="345" spans="3:7" x14ac:dyDescent="0.2">
      <c r="C345" s="10" t="s">
        <v>211</v>
      </c>
      <c r="D345" s="34">
        <v>14400</v>
      </c>
      <c r="E345" s="11">
        <f t="shared" si="30"/>
        <v>1872</v>
      </c>
      <c r="F345" s="35">
        <f t="shared" ref="F345:F352" si="33">+E346*$F$12</f>
        <v>214.5</v>
      </c>
      <c r="G345" s="47">
        <f t="shared" si="31"/>
        <v>16272</v>
      </c>
    </row>
    <row r="346" spans="3:7" ht="11.25" customHeight="1" x14ac:dyDescent="0.2">
      <c r="C346" s="10" t="s">
        <v>464</v>
      </c>
      <c r="D346" s="34">
        <v>16500</v>
      </c>
      <c r="E346" s="11">
        <f t="shared" si="30"/>
        <v>2145</v>
      </c>
      <c r="F346" s="35">
        <f t="shared" si="33"/>
        <v>269.49</v>
      </c>
      <c r="G346" s="47">
        <f t="shared" si="31"/>
        <v>18645</v>
      </c>
    </row>
    <row r="347" spans="3:7" x14ac:dyDescent="0.2">
      <c r="C347" s="10" t="s">
        <v>212</v>
      </c>
      <c r="D347" s="34">
        <v>20730</v>
      </c>
      <c r="E347" s="11">
        <f t="shared" si="30"/>
        <v>2694.9</v>
      </c>
      <c r="F347" s="35" t="e">
        <f>+#REF!*$F$12</f>
        <v>#REF!</v>
      </c>
      <c r="G347" s="47">
        <f t="shared" si="31"/>
        <v>23424.9</v>
      </c>
    </row>
    <row r="348" spans="3:7" x14ac:dyDescent="0.2">
      <c r="C348" s="10" t="s">
        <v>461</v>
      </c>
      <c r="D348" s="34">
        <v>27910</v>
      </c>
      <c r="E348" s="11">
        <f t="shared" si="30"/>
        <v>3628.3</v>
      </c>
      <c r="F348" s="35">
        <f t="shared" si="33"/>
        <v>22.75</v>
      </c>
      <c r="G348" s="47">
        <f t="shared" si="31"/>
        <v>31538.3</v>
      </c>
    </row>
    <row r="349" spans="3:7" x14ac:dyDescent="0.2">
      <c r="C349" s="10" t="s">
        <v>836</v>
      </c>
      <c r="D349" s="34">
        <v>1750</v>
      </c>
      <c r="E349" s="11">
        <f t="shared" si="30"/>
        <v>227.5</v>
      </c>
      <c r="F349" s="35">
        <f t="shared" si="33"/>
        <v>70.070000000000007</v>
      </c>
      <c r="G349" s="47">
        <f t="shared" si="31"/>
        <v>1977.5</v>
      </c>
    </row>
    <row r="350" spans="3:7" x14ac:dyDescent="0.2">
      <c r="C350" s="10" t="s">
        <v>213</v>
      </c>
      <c r="D350" s="34">
        <v>5390</v>
      </c>
      <c r="E350" s="11">
        <f t="shared" si="30"/>
        <v>700.7</v>
      </c>
      <c r="F350" s="36">
        <f t="shared" si="33"/>
        <v>72.02000000000001</v>
      </c>
      <c r="G350" s="47">
        <f t="shared" si="31"/>
        <v>6090.7</v>
      </c>
    </row>
    <row r="351" spans="3:7" x14ac:dyDescent="0.2">
      <c r="C351" s="10" t="s">
        <v>215</v>
      </c>
      <c r="D351" s="34">
        <v>5540</v>
      </c>
      <c r="E351" s="11">
        <f t="shared" si="30"/>
        <v>720.2</v>
      </c>
      <c r="F351" s="35">
        <f>+E352*$F$12</f>
        <v>91.52000000000001</v>
      </c>
      <c r="G351" s="47">
        <f t="shared" si="31"/>
        <v>6260.2</v>
      </c>
    </row>
    <row r="352" spans="3:7" x14ac:dyDescent="0.2">
      <c r="C352" s="10" t="s">
        <v>214</v>
      </c>
      <c r="D352" s="34">
        <v>7040</v>
      </c>
      <c r="E352" s="11">
        <f t="shared" si="30"/>
        <v>915.2</v>
      </c>
      <c r="F352" s="35">
        <f t="shared" si="33"/>
        <v>97.5</v>
      </c>
      <c r="G352" s="47">
        <f t="shared" si="31"/>
        <v>7955.2</v>
      </c>
    </row>
    <row r="353" spans="3:7" x14ac:dyDescent="0.2">
      <c r="C353" s="10" t="s">
        <v>216</v>
      </c>
      <c r="D353" s="34">
        <v>7500</v>
      </c>
      <c r="E353" s="11">
        <f t="shared" si="30"/>
        <v>975</v>
      </c>
      <c r="F353" s="35">
        <f>+E354*$F$12</f>
        <v>197.99</v>
      </c>
      <c r="G353" s="47">
        <f t="shared" si="31"/>
        <v>8475</v>
      </c>
    </row>
    <row r="354" spans="3:7" x14ac:dyDescent="0.2">
      <c r="C354" s="10" t="s">
        <v>217</v>
      </c>
      <c r="D354" s="34">
        <v>15230</v>
      </c>
      <c r="E354" s="11">
        <f t="shared" si="30"/>
        <v>1979.9</v>
      </c>
      <c r="F354" s="35" t="e">
        <f>+#REF!*$F$12</f>
        <v>#REF!</v>
      </c>
      <c r="G354" s="47">
        <f t="shared" si="31"/>
        <v>17209.900000000001</v>
      </c>
    </row>
    <row r="355" spans="3:7" x14ac:dyDescent="0.2">
      <c r="C355" s="10" t="s">
        <v>694</v>
      </c>
      <c r="D355" s="34">
        <v>14360</v>
      </c>
      <c r="E355" s="11">
        <f t="shared" ref="E355" si="34">+D355*13%</f>
        <v>1866.8</v>
      </c>
      <c r="F355" s="35" t="e">
        <f>+#REF!*$F$12</f>
        <v>#REF!</v>
      </c>
      <c r="G355" s="47">
        <f t="shared" ref="G355" si="35">+D355+E355</f>
        <v>16226.8</v>
      </c>
    </row>
    <row r="356" spans="3:7" x14ac:dyDescent="0.2">
      <c r="C356" s="10" t="s">
        <v>218</v>
      </c>
      <c r="D356" s="34">
        <v>18500</v>
      </c>
      <c r="E356" s="11">
        <f t="shared" si="30"/>
        <v>2405</v>
      </c>
      <c r="F356" s="35" t="e">
        <f>+#REF!*$F$12</f>
        <v>#REF!</v>
      </c>
      <c r="G356" s="47">
        <f t="shared" si="31"/>
        <v>20905</v>
      </c>
    </row>
    <row r="357" spans="3:7" x14ac:dyDescent="0.2">
      <c r="C357" s="10" t="s">
        <v>837</v>
      </c>
      <c r="D357" s="34">
        <v>4160</v>
      </c>
      <c r="E357" s="11">
        <f t="shared" si="30"/>
        <v>540.80000000000007</v>
      </c>
      <c r="F357" s="35">
        <f>+E361*$F$12</f>
        <v>358.28000000000003</v>
      </c>
      <c r="G357" s="47">
        <f t="shared" si="31"/>
        <v>4700.8</v>
      </c>
    </row>
    <row r="358" spans="3:7" x14ac:dyDescent="0.2">
      <c r="C358" s="10" t="s">
        <v>558</v>
      </c>
      <c r="D358" s="34">
        <v>8650</v>
      </c>
      <c r="E358" s="11">
        <f t="shared" si="30"/>
        <v>1124.5</v>
      </c>
      <c r="F358" s="35"/>
      <c r="G358" s="47">
        <f t="shared" si="31"/>
        <v>9774.5</v>
      </c>
    </row>
    <row r="359" spans="3:7" x14ac:dyDescent="0.2">
      <c r="C359" s="10" t="s">
        <v>571</v>
      </c>
      <c r="D359" s="34">
        <v>5700</v>
      </c>
      <c r="E359" s="11">
        <f t="shared" si="30"/>
        <v>741</v>
      </c>
      <c r="F359" s="35"/>
      <c r="G359" s="47">
        <f t="shared" si="31"/>
        <v>6441</v>
      </c>
    </row>
    <row r="360" spans="3:7" x14ac:dyDescent="0.2">
      <c r="C360" s="10" t="s">
        <v>597</v>
      </c>
      <c r="D360" s="34">
        <v>5700</v>
      </c>
      <c r="E360" s="11">
        <f t="shared" si="30"/>
        <v>741</v>
      </c>
      <c r="F360" s="35"/>
      <c r="G360" s="47">
        <f t="shared" si="31"/>
        <v>6441</v>
      </c>
    </row>
    <row r="361" spans="3:7" x14ac:dyDescent="0.2">
      <c r="C361" s="10" t="s">
        <v>219</v>
      </c>
      <c r="D361" s="34">
        <v>27560</v>
      </c>
      <c r="E361" s="11">
        <f t="shared" si="30"/>
        <v>3582.8</v>
      </c>
      <c r="F361" s="35" t="e">
        <f>+#REF!*$F$12</f>
        <v>#REF!</v>
      </c>
      <c r="G361" s="47">
        <f t="shared" si="31"/>
        <v>31142.799999999999</v>
      </c>
    </row>
    <row r="362" spans="3:7" x14ac:dyDescent="0.2">
      <c r="C362" s="10" t="s">
        <v>683</v>
      </c>
      <c r="D362" s="34">
        <v>4565</v>
      </c>
      <c r="E362" s="11">
        <f t="shared" si="30"/>
        <v>593.45000000000005</v>
      </c>
      <c r="F362" s="35"/>
      <c r="G362" s="47">
        <f t="shared" si="31"/>
        <v>5158.45</v>
      </c>
    </row>
    <row r="363" spans="3:7" x14ac:dyDescent="0.2">
      <c r="C363" s="10" t="s">
        <v>220</v>
      </c>
      <c r="D363" s="34">
        <v>15675</v>
      </c>
      <c r="E363" s="11">
        <f t="shared" si="30"/>
        <v>2037.75</v>
      </c>
      <c r="F363" s="35" t="e">
        <f>+#REF!*$F$12</f>
        <v>#REF!</v>
      </c>
      <c r="G363" s="47">
        <f t="shared" si="31"/>
        <v>17712.75</v>
      </c>
    </row>
    <row r="364" spans="3:7" x14ac:dyDescent="0.2">
      <c r="C364" s="10" t="s">
        <v>572</v>
      </c>
      <c r="D364" s="34">
        <v>22050</v>
      </c>
      <c r="E364" s="11">
        <f t="shared" si="30"/>
        <v>2866.5</v>
      </c>
      <c r="F364" s="35"/>
      <c r="G364" s="47">
        <f t="shared" si="31"/>
        <v>24916.5</v>
      </c>
    </row>
    <row r="365" spans="3:7" x14ac:dyDescent="0.2">
      <c r="C365" s="10" t="s">
        <v>820</v>
      </c>
      <c r="D365" s="34">
        <v>16960</v>
      </c>
      <c r="E365" s="11">
        <f t="shared" si="30"/>
        <v>2204.8000000000002</v>
      </c>
      <c r="F365" s="35"/>
      <c r="G365" s="47">
        <f t="shared" si="31"/>
        <v>19164.8</v>
      </c>
    </row>
    <row r="366" spans="3:7" x14ac:dyDescent="0.2">
      <c r="C366" s="10" t="s">
        <v>504</v>
      </c>
      <c r="D366" s="43">
        <v>12180</v>
      </c>
      <c r="E366" s="11">
        <f t="shared" si="30"/>
        <v>1583.4</v>
      </c>
      <c r="F366" s="35"/>
      <c r="G366" s="47">
        <f t="shared" si="31"/>
        <v>13763.4</v>
      </c>
    </row>
    <row r="367" spans="3:7" x14ac:dyDescent="0.2">
      <c r="C367" s="10" t="s">
        <v>221</v>
      </c>
      <c r="D367" s="34">
        <v>14475</v>
      </c>
      <c r="E367" s="11">
        <f t="shared" si="30"/>
        <v>1881.75</v>
      </c>
      <c r="F367" s="37">
        <v>15250</v>
      </c>
      <c r="G367" s="47">
        <f t="shared" si="31"/>
        <v>16356.75</v>
      </c>
    </row>
    <row r="368" spans="3:7" x14ac:dyDescent="0.2">
      <c r="C368" s="10" t="s">
        <v>821</v>
      </c>
      <c r="D368" s="34">
        <v>14475</v>
      </c>
      <c r="E368" s="11">
        <f t="shared" si="30"/>
        <v>1881.75</v>
      </c>
      <c r="F368" s="37"/>
      <c r="G368" s="47">
        <f t="shared" si="31"/>
        <v>16356.75</v>
      </c>
    </row>
    <row r="369" spans="3:7" x14ac:dyDescent="0.2">
      <c r="C369" s="10" t="s">
        <v>712</v>
      </c>
      <c r="D369" s="34">
        <v>7100</v>
      </c>
      <c r="E369" s="11">
        <f t="shared" si="30"/>
        <v>923</v>
      </c>
      <c r="F369" s="37"/>
      <c r="G369" s="47">
        <f t="shared" si="31"/>
        <v>8023</v>
      </c>
    </row>
    <row r="370" spans="3:7" x14ac:dyDescent="0.2">
      <c r="C370" s="10" t="s">
        <v>713</v>
      </c>
      <c r="D370" s="34">
        <v>9505</v>
      </c>
      <c r="E370" s="11">
        <f t="shared" si="30"/>
        <v>1235.6500000000001</v>
      </c>
      <c r="F370" s="37"/>
      <c r="G370" s="47">
        <f t="shared" si="31"/>
        <v>10740.65</v>
      </c>
    </row>
    <row r="371" spans="3:7" x14ac:dyDescent="0.2">
      <c r="C371" s="10" t="s">
        <v>673</v>
      </c>
      <c r="D371" s="34">
        <v>9305</v>
      </c>
      <c r="E371" s="11">
        <f t="shared" si="30"/>
        <v>1209.6500000000001</v>
      </c>
      <c r="F371" s="35"/>
      <c r="G371" s="47">
        <f t="shared" si="31"/>
        <v>10514.65</v>
      </c>
    </row>
    <row r="372" spans="3:7" ht="10.5" customHeight="1" x14ac:dyDescent="0.2">
      <c r="C372" s="10" t="s">
        <v>222</v>
      </c>
      <c r="D372" s="34">
        <v>19075</v>
      </c>
      <c r="E372" s="11">
        <f t="shared" ref="E372:E401" si="36">+D372*13%</f>
        <v>2479.75</v>
      </c>
      <c r="F372" s="35">
        <f>+E374*$F$12</f>
        <v>209.69000000000003</v>
      </c>
      <c r="G372" s="47">
        <f t="shared" ref="G372:G400" si="37">+D372+E372</f>
        <v>21554.75</v>
      </c>
    </row>
    <row r="373" spans="3:7" ht="10.5" customHeight="1" x14ac:dyDescent="0.2">
      <c r="C373" s="10" t="s">
        <v>672</v>
      </c>
      <c r="D373" s="34">
        <v>11850</v>
      </c>
      <c r="E373" s="11">
        <f t="shared" si="36"/>
        <v>1540.5</v>
      </c>
      <c r="F373" s="35"/>
      <c r="G373" s="47">
        <f t="shared" si="37"/>
        <v>13390.5</v>
      </c>
    </row>
    <row r="374" spans="3:7" x14ac:dyDescent="0.2">
      <c r="C374" s="10" t="s">
        <v>223</v>
      </c>
      <c r="D374" s="34">
        <v>16130</v>
      </c>
      <c r="E374" s="11">
        <f t="shared" si="36"/>
        <v>2096.9</v>
      </c>
      <c r="F374" s="37">
        <v>16700</v>
      </c>
      <c r="G374" s="47">
        <f t="shared" si="37"/>
        <v>18226.900000000001</v>
      </c>
    </row>
    <row r="375" spans="3:7" x14ac:dyDescent="0.2">
      <c r="C375" s="10" t="s">
        <v>590</v>
      </c>
      <c r="D375" s="34">
        <v>5630</v>
      </c>
      <c r="E375" s="11">
        <f t="shared" si="36"/>
        <v>731.9</v>
      </c>
      <c r="F375" s="37"/>
      <c r="G375" s="47">
        <f t="shared" si="37"/>
        <v>6361.9</v>
      </c>
    </row>
    <row r="376" spans="3:7" x14ac:dyDescent="0.2">
      <c r="C376" s="10" t="s">
        <v>593</v>
      </c>
      <c r="D376" s="34">
        <v>5630</v>
      </c>
      <c r="E376" s="11">
        <f t="shared" si="36"/>
        <v>731.9</v>
      </c>
      <c r="F376" s="37"/>
      <c r="G376" s="47">
        <f t="shared" si="37"/>
        <v>6361.9</v>
      </c>
    </row>
    <row r="377" spans="3:7" x14ac:dyDescent="0.2">
      <c r="C377" s="10" t="s">
        <v>224</v>
      </c>
      <c r="D377" s="34">
        <v>2700</v>
      </c>
      <c r="E377" s="11">
        <f t="shared" si="36"/>
        <v>351</v>
      </c>
      <c r="F377" s="35">
        <f t="shared" ref="F377:F378" si="38">+E378*$F$12</f>
        <v>93.600000000000009</v>
      </c>
      <c r="G377" s="47">
        <f t="shared" si="37"/>
        <v>3051</v>
      </c>
    </row>
    <row r="378" spans="3:7" x14ac:dyDescent="0.2">
      <c r="C378" s="10" t="s">
        <v>225</v>
      </c>
      <c r="D378" s="34">
        <v>7200</v>
      </c>
      <c r="E378" s="11">
        <f t="shared" si="36"/>
        <v>936</v>
      </c>
      <c r="F378" s="35">
        <f t="shared" si="38"/>
        <v>101.98500000000001</v>
      </c>
      <c r="G378" s="47">
        <f t="shared" si="37"/>
        <v>8136</v>
      </c>
    </row>
    <row r="379" spans="3:7" x14ac:dyDescent="0.2">
      <c r="C379" s="10" t="s">
        <v>226</v>
      </c>
      <c r="D379" s="34">
        <v>7845</v>
      </c>
      <c r="E379" s="11">
        <f t="shared" si="36"/>
        <v>1019.85</v>
      </c>
      <c r="F379" s="35" t="e">
        <f>+#REF!*$F$12</f>
        <v>#REF!</v>
      </c>
      <c r="G379" s="47">
        <f t="shared" si="37"/>
        <v>8864.85</v>
      </c>
    </row>
    <row r="380" spans="3:7" x14ac:dyDescent="0.2">
      <c r="C380" s="10" t="s">
        <v>591</v>
      </c>
      <c r="D380" s="34">
        <v>5625</v>
      </c>
      <c r="E380" s="11">
        <f t="shared" si="36"/>
        <v>731.25</v>
      </c>
      <c r="F380" s="35" t="e">
        <f>+#REF!*$F$12</f>
        <v>#REF!</v>
      </c>
      <c r="G380" s="47">
        <f t="shared" si="37"/>
        <v>6356.25</v>
      </c>
    </row>
    <row r="381" spans="3:7" x14ac:dyDescent="0.2">
      <c r="C381" s="10" t="s">
        <v>592</v>
      </c>
      <c r="D381" s="34">
        <v>5760</v>
      </c>
      <c r="E381" s="11">
        <f t="shared" si="36"/>
        <v>748.80000000000007</v>
      </c>
      <c r="F381" s="35"/>
      <c r="G381" s="47">
        <f t="shared" si="37"/>
        <v>6508.8</v>
      </c>
    </row>
    <row r="382" spans="3:7" x14ac:dyDescent="0.2">
      <c r="C382" s="10" t="s">
        <v>227</v>
      </c>
      <c r="D382" s="34">
        <v>13115</v>
      </c>
      <c r="E382" s="11">
        <f t="shared" si="36"/>
        <v>1704.95</v>
      </c>
      <c r="F382" s="35" t="e">
        <f>+#REF!*$F$12</f>
        <v>#REF!</v>
      </c>
      <c r="G382" s="47">
        <f t="shared" si="37"/>
        <v>14819.95</v>
      </c>
    </row>
    <row r="383" spans="3:7" x14ac:dyDescent="0.2">
      <c r="C383" s="21" t="s">
        <v>604</v>
      </c>
      <c r="D383" s="11"/>
      <c r="E383" s="11"/>
      <c r="F383" s="38"/>
      <c r="G383" s="13"/>
    </row>
    <row r="384" spans="3:7" x14ac:dyDescent="0.2">
      <c r="C384" s="10" t="s">
        <v>578</v>
      </c>
      <c r="D384" s="34">
        <v>14500</v>
      </c>
      <c r="E384" s="11">
        <f t="shared" si="36"/>
        <v>1885</v>
      </c>
      <c r="F384" s="37">
        <v>17500</v>
      </c>
      <c r="G384" s="47">
        <f t="shared" si="37"/>
        <v>16385</v>
      </c>
    </row>
    <row r="385" spans="3:7" x14ac:dyDescent="0.2">
      <c r="C385" s="10" t="s">
        <v>492</v>
      </c>
      <c r="D385" s="34">
        <v>19360</v>
      </c>
      <c r="E385" s="11">
        <f t="shared" si="36"/>
        <v>2516.8000000000002</v>
      </c>
      <c r="F385" s="35"/>
      <c r="G385" s="47">
        <f t="shared" si="37"/>
        <v>21876.799999999999</v>
      </c>
    </row>
    <row r="386" spans="3:7" x14ac:dyDescent="0.2">
      <c r="C386" s="10" t="s">
        <v>579</v>
      </c>
      <c r="D386" s="34">
        <v>15440</v>
      </c>
      <c r="E386" s="11">
        <f t="shared" si="36"/>
        <v>2007.2</v>
      </c>
      <c r="F386" s="35"/>
      <c r="G386" s="47">
        <f t="shared" si="37"/>
        <v>17447.2</v>
      </c>
    </row>
    <row r="387" spans="3:7" x14ac:dyDescent="0.2">
      <c r="C387" s="10" t="s">
        <v>580</v>
      </c>
      <c r="D387" s="34">
        <v>7700</v>
      </c>
      <c r="E387" s="11">
        <f t="shared" si="36"/>
        <v>1001</v>
      </c>
      <c r="F387" s="35"/>
      <c r="G387" s="47">
        <f t="shared" si="37"/>
        <v>8701</v>
      </c>
    </row>
    <row r="388" spans="3:7" x14ac:dyDescent="0.2">
      <c r="C388" s="10" t="s">
        <v>714</v>
      </c>
      <c r="D388" s="34">
        <v>7500</v>
      </c>
      <c r="E388" s="11">
        <f t="shared" si="36"/>
        <v>975</v>
      </c>
      <c r="F388" s="36">
        <f>+E389*$F$12</f>
        <v>0</v>
      </c>
      <c r="G388" s="47">
        <f t="shared" si="37"/>
        <v>8475</v>
      </c>
    </row>
    <row r="389" spans="3:7" x14ac:dyDescent="0.2">
      <c r="C389" s="26" t="s">
        <v>8</v>
      </c>
      <c r="D389" s="14"/>
      <c r="E389" s="11"/>
      <c r="F389" s="36">
        <f>+E390*$F$12</f>
        <v>0</v>
      </c>
      <c r="G389" s="13"/>
    </row>
    <row r="390" spans="3:7" x14ac:dyDescent="0.2">
      <c r="C390" s="10" t="s">
        <v>2</v>
      </c>
      <c r="D390" s="45" t="s">
        <v>3</v>
      </c>
      <c r="E390" s="11"/>
      <c r="F390" s="36" t="e">
        <f>+#REF!*$F$12</f>
        <v>#REF!</v>
      </c>
      <c r="G390" s="13"/>
    </row>
    <row r="391" spans="3:7" x14ac:dyDescent="0.2">
      <c r="C391" s="10" t="s">
        <v>228</v>
      </c>
      <c r="D391" s="34">
        <v>6200</v>
      </c>
      <c r="E391" s="11">
        <f t="shared" si="36"/>
        <v>806</v>
      </c>
      <c r="F391" s="36"/>
      <c r="G391" s="47">
        <f t="shared" si="37"/>
        <v>7006</v>
      </c>
    </row>
    <row r="392" spans="3:7" x14ac:dyDescent="0.2">
      <c r="C392" s="10" t="s">
        <v>229</v>
      </c>
      <c r="D392" s="34">
        <v>6640</v>
      </c>
      <c r="E392" s="11">
        <f t="shared" si="36"/>
        <v>863.2</v>
      </c>
      <c r="F392" s="36" t="e">
        <f>+#REF!*$F$12</f>
        <v>#REF!</v>
      </c>
      <c r="G392" s="47">
        <f t="shared" si="37"/>
        <v>7503.2</v>
      </c>
    </row>
    <row r="393" spans="3:7" x14ac:dyDescent="0.2">
      <c r="C393" s="10" t="s">
        <v>512</v>
      </c>
      <c r="D393" s="34">
        <v>9515</v>
      </c>
      <c r="E393" s="11">
        <f t="shared" si="36"/>
        <v>1236.95</v>
      </c>
      <c r="F393" s="36"/>
      <c r="G393" s="47">
        <f t="shared" si="37"/>
        <v>10751.95</v>
      </c>
    </row>
    <row r="394" spans="3:7" x14ac:dyDescent="0.2">
      <c r="C394" s="10" t="s">
        <v>230</v>
      </c>
      <c r="D394" s="34">
        <v>8650</v>
      </c>
      <c r="E394" s="11">
        <f t="shared" si="36"/>
        <v>1124.5</v>
      </c>
      <c r="F394" s="36">
        <f t="shared" ref="F394:F399" si="39">+E395*$F$12</f>
        <v>112.45</v>
      </c>
      <c r="G394" s="47">
        <f t="shared" si="37"/>
        <v>9774.5</v>
      </c>
    </row>
    <row r="395" spans="3:7" x14ac:dyDescent="0.2">
      <c r="C395" s="10" t="s">
        <v>231</v>
      </c>
      <c r="D395" s="34">
        <v>8650</v>
      </c>
      <c r="E395" s="11">
        <f t="shared" si="36"/>
        <v>1124.5</v>
      </c>
      <c r="F395" s="36" t="e">
        <f>+#REF!*$F$12</f>
        <v>#REF!</v>
      </c>
      <c r="G395" s="47">
        <f t="shared" si="37"/>
        <v>9774.5</v>
      </c>
    </row>
    <row r="396" spans="3:7" x14ac:dyDescent="0.2">
      <c r="C396" s="10" t="s">
        <v>232</v>
      </c>
      <c r="D396" s="34">
        <v>10750</v>
      </c>
      <c r="E396" s="11">
        <f t="shared" si="36"/>
        <v>1397.5</v>
      </c>
      <c r="F396" s="36">
        <f t="shared" si="39"/>
        <v>117.91000000000003</v>
      </c>
      <c r="G396" s="47">
        <f t="shared" si="37"/>
        <v>12147.5</v>
      </c>
    </row>
    <row r="397" spans="3:7" x14ac:dyDescent="0.2">
      <c r="C397" s="53" t="s">
        <v>233</v>
      </c>
      <c r="D397" s="34">
        <v>9070</v>
      </c>
      <c r="E397" s="11">
        <f t="shared" si="36"/>
        <v>1179.1000000000001</v>
      </c>
      <c r="F397" s="36">
        <f t="shared" si="39"/>
        <v>139.75</v>
      </c>
      <c r="G397" s="47">
        <f t="shared" si="37"/>
        <v>10249.1</v>
      </c>
    </row>
    <row r="398" spans="3:7" x14ac:dyDescent="0.2">
      <c r="C398" s="10" t="s">
        <v>234</v>
      </c>
      <c r="D398" s="34">
        <v>10750</v>
      </c>
      <c r="E398" s="11">
        <f t="shared" si="36"/>
        <v>1397.5</v>
      </c>
      <c r="F398" s="36">
        <f t="shared" si="39"/>
        <v>150.215</v>
      </c>
      <c r="G398" s="47">
        <f t="shared" si="37"/>
        <v>12147.5</v>
      </c>
    </row>
    <row r="399" spans="3:7" x14ac:dyDescent="0.2">
      <c r="C399" s="10" t="s">
        <v>235</v>
      </c>
      <c r="D399" s="34">
        <v>11555</v>
      </c>
      <c r="E399" s="11">
        <f t="shared" si="36"/>
        <v>1502.15</v>
      </c>
      <c r="F399" s="36">
        <f t="shared" si="39"/>
        <v>81.510000000000005</v>
      </c>
      <c r="G399" s="47">
        <f t="shared" si="37"/>
        <v>13057.15</v>
      </c>
    </row>
    <row r="400" spans="3:7" x14ac:dyDescent="0.2">
      <c r="C400" s="10" t="s">
        <v>236</v>
      </c>
      <c r="D400" s="34">
        <v>6270</v>
      </c>
      <c r="E400" s="11">
        <f t="shared" si="36"/>
        <v>815.1</v>
      </c>
      <c r="F400" s="36">
        <f>+E401*$F$12</f>
        <v>56.160000000000004</v>
      </c>
      <c r="G400" s="47">
        <f t="shared" si="37"/>
        <v>7085.1</v>
      </c>
    </row>
    <row r="401" spans="3:7" x14ac:dyDescent="0.2">
      <c r="C401" s="10" t="s">
        <v>459</v>
      </c>
      <c r="D401" s="34">
        <v>4320</v>
      </c>
      <c r="E401" s="11">
        <f t="shared" si="36"/>
        <v>561.6</v>
      </c>
      <c r="F401" s="36" t="e">
        <f>+#REF!*$F$12</f>
        <v>#REF!</v>
      </c>
      <c r="G401" s="47">
        <f>E401</f>
        <v>561.6</v>
      </c>
    </row>
    <row r="402" spans="3:7" x14ac:dyDescent="0.2">
      <c r="C402" s="10" t="s">
        <v>513</v>
      </c>
      <c r="D402" s="34">
        <v>12500</v>
      </c>
      <c r="E402" s="11">
        <f t="shared" ref="E402:E436" si="40">+D402*13%</f>
        <v>1625</v>
      </c>
      <c r="F402" s="41"/>
      <c r="G402" s="47">
        <f t="shared" ref="G402:G436" si="41">+D402+E402</f>
        <v>14125</v>
      </c>
    </row>
    <row r="403" spans="3:7" x14ac:dyDescent="0.2">
      <c r="C403" s="10" t="s">
        <v>715</v>
      </c>
      <c r="D403" s="34">
        <v>6450</v>
      </c>
      <c r="E403" s="11">
        <f t="shared" si="40"/>
        <v>838.5</v>
      </c>
      <c r="F403" s="35"/>
      <c r="G403" s="47">
        <f t="shared" si="41"/>
        <v>7288.5</v>
      </c>
    </row>
    <row r="404" spans="3:7" x14ac:dyDescent="0.2">
      <c r="C404" s="10" t="s">
        <v>631</v>
      </c>
      <c r="D404" s="34">
        <v>7050</v>
      </c>
      <c r="E404" s="11">
        <f t="shared" si="40"/>
        <v>916.5</v>
      </c>
      <c r="F404" s="35"/>
      <c r="G404" s="47">
        <f t="shared" si="41"/>
        <v>7966.5</v>
      </c>
    </row>
    <row r="405" spans="3:7" x14ac:dyDescent="0.2">
      <c r="C405" s="10" t="s">
        <v>237</v>
      </c>
      <c r="D405" s="34">
        <v>6550</v>
      </c>
      <c r="E405" s="11">
        <f t="shared" si="40"/>
        <v>851.5</v>
      </c>
      <c r="F405" s="35">
        <f t="shared" ref="F405:F418" si="42">+E406*$F$12</f>
        <v>83.2</v>
      </c>
      <c r="G405" s="47">
        <f t="shared" si="41"/>
        <v>7401.5</v>
      </c>
    </row>
    <row r="406" spans="3:7" x14ac:dyDescent="0.2">
      <c r="C406" s="10" t="s">
        <v>238</v>
      </c>
      <c r="D406" s="34">
        <v>6400</v>
      </c>
      <c r="E406" s="11">
        <f t="shared" si="40"/>
        <v>832</v>
      </c>
      <c r="F406" s="35">
        <f t="shared" si="42"/>
        <v>85.15</v>
      </c>
      <c r="G406" s="47">
        <f t="shared" si="41"/>
        <v>7232</v>
      </c>
    </row>
    <row r="407" spans="3:7" x14ac:dyDescent="0.2">
      <c r="C407" s="10" t="s">
        <v>239</v>
      </c>
      <c r="D407" s="34">
        <v>6550</v>
      </c>
      <c r="E407" s="11">
        <f t="shared" si="40"/>
        <v>851.5</v>
      </c>
      <c r="F407" s="35">
        <f t="shared" si="42"/>
        <v>85.15</v>
      </c>
      <c r="G407" s="47">
        <f t="shared" si="41"/>
        <v>7401.5</v>
      </c>
    </row>
    <row r="408" spans="3:7" x14ac:dyDescent="0.2">
      <c r="C408" s="10" t="s">
        <v>240</v>
      </c>
      <c r="D408" s="34">
        <v>6550</v>
      </c>
      <c r="E408" s="11">
        <f t="shared" si="40"/>
        <v>851.5</v>
      </c>
      <c r="F408" s="35">
        <f t="shared" si="42"/>
        <v>85.15</v>
      </c>
      <c r="G408" s="47">
        <f t="shared" si="41"/>
        <v>7401.5</v>
      </c>
    </row>
    <row r="409" spans="3:7" x14ac:dyDescent="0.2">
      <c r="C409" s="10" t="s">
        <v>241</v>
      </c>
      <c r="D409" s="34">
        <v>6550</v>
      </c>
      <c r="E409" s="11">
        <f t="shared" si="40"/>
        <v>851.5</v>
      </c>
      <c r="F409" s="35">
        <f t="shared" si="42"/>
        <v>83.2</v>
      </c>
      <c r="G409" s="47">
        <f t="shared" si="41"/>
        <v>7401.5</v>
      </c>
    </row>
    <row r="410" spans="3:7" x14ac:dyDescent="0.2">
      <c r="C410" s="10" t="s">
        <v>242</v>
      </c>
      <c r="D410" s="34">
        <v>6400</v>
      </c>
      <c r="E410" s="11">
        <f t="shared" si="40"/>
        <v>832</v>
      </c>
      <c r="F410" s="35">
        <f t="shared" si="42"/>
        <v>83.525000000000006</v>
      </c>
      <c r="G410" s="47">
        <f t="shared" si="41"/>
        <v>7232</v>
      </c>
    </row>
    <row r="411" spans="3:7" x14ac:dyDescent="0.2">
      <c r="C411" s="10" t="s">
        <v>243</v>
      </c>
      <c r="D411" s="34">
        <v>6425</v>
      </c>
      <c r="E411" s="11">
        <f t="shared" si="40"/>
        <v>835.25</v>
      </c>
      <c r="F411" s="35">
        <f t="shared" si="42"/>
        <v>93.210000000000008</v>
      </c>
      <c r="G411" s="47">
        <f t="shared" si="41"/>
        <v>7260.25</v>
      </c>
    </row>
    <row r="412" spans="3:7" x14ac:dyDescent="0.2">
      <c r="C412" s="10" t="s">
        <v>244</v>
      </c>
      <c r="D412" s="34">
        <v>7170</v>
      </c>
      <c r="E412" s="11">
        <f t="shared" si="40"/>
        <v>932.1</v>
      </c>
      <c r="F412" s="35">
        <f t="shared" si="42"/>
        <v>83.2</v>
      </c>
      <c r="G412" s="47">
        <f t="shared" si="41"/>
        <v>8102.1</v>
      </c>
    </row>
    <row r="413" spans="3:7" x14ac:dyDescent="0.2">
      <c r="C413" s="10" t="s">
        <v>245</v>
      </c>
      <c r="D413" s="34">
        <v>6400</v>
      </c>
      <c r="E413" s="11">
        <f t="shared" si="40"/>
        <v>832</v>
      </c>
      <c r="F413" s="35">
        <f t="shared" si="42"/>
        <v>85.15</v>
      </c>
      <c r="G413" s="47">
        <f t="shared" si="41"/>
        <v>7232</v>
      </c>
    </row>
    <row r="414" spans="3:7" ht="13.5" customHeight="1" x14ac:dyDescent="0.2">
      <c r="C414" s="10" t="s">
        <v>246</v>
      </c>
      <c r="D414" s="34">
        <v>6550</v>
      </c>
      <c r="E414" s="11">
        <f t="shared" si="40"/>
        <v>851.5</v>
      </c>
      <c r="F414" s="35">
        <f t="shared" si="42"/>
        <v>71.37</v>
      </c>
      <c r="G414" s="47">
        <f t="shared" si="41"/>
        <v>7401.5</v>
      </c>
    </row>
    <row r="415" spans="3:7" x14ac:dyDescent="0.2">
      <c r="C415" s="10" t="s">
        <v>247</v>
      </c>
      <c r="D415" s="34">
        <v>5490</v>
      </c>
      <c r="E415" s="11">
        <f t="shared" si="40"/>
        <v>713.7</v>
      </c>
      <c r="F415" s="36" t="e">
        <f>+#REF!*$F$12</f>
        <v>#REF!</v>
      </c>
      <c r="G415" s="47">
        <f t="shared" si="41"/>
        <v>6203.7</v>
      </c>
    </row>
    <row r="416" spans="3:7" x14ac:dyDescent="0.2">
      <c r="C416" s="10" t="s">
        <v>248</v>
      </c>
      <c r="D416" s="34">
        <v>11195</v>
      </c>
      <c r="E416" s="11">
        <f t="shared" si="40"/>
        <v>1455.3500000000001</v>
      </c>
      <c r="F416" s="36">
        <f>+E417*$F$12</f>
        <v>162.5</v>
      </c>
      <c r="G416" s="47">
        <f t="shared" si="41"/>
        <v>12650.35</v>
      </c>
    </row>
    <row r="417" spans="2:16" x14ac:dyDescent="0.2">
      <c r="C417" s="10" t="s">
        <v>249</v>
      </c>
      <c r="D417" s="34">
        <v>12500</v>
      </c>
      <c r="E417" s="11">
        <f t="shared" si="40"/>
        <v>1625</v>
      </c>
      <c r="F417" s="35">
        <f t="shared" si="42"/>
        <v>76.7</v>
      </c>
      <c r="G417" s="47">
        <f t="shared" si="41"/>
        <v>14125</v>
      </c>
    </row>
    <row r="418" spans="2:16" x14ac:dyDescent="0.2">
      <c r="C418" s="10" t="s">
        <v>250</v>
      </c>
      <c r="D418" s="34">
        <v>5900</v>
      </c>
      <c r="E418" s="11">
        <f t="shared" si="40"/>
        <v>767</v>
      </c>
      <c r="F418" s="35">
        <f t="shared" si="42"/>
        <v>162.5</v>
      </c>
      <c r="G418" s="47">
        <f t="shared" si="41"/>
        <v>6667</v>
      </c>
    </row>
    <row r="419" spans="2:16" x14ac:dyDescent="0.2">
      <c r="C419" s="10" t="s">
        <v>251</v>
      </c>
      <c r="D419" s="34">
        <v>12500</v>
      </c>
      <c r="E419" s="11">
        <f t="shared" si="40"/>
        <v>1625</v>
      </c>
      <c r="F419" s="35" t="e">
        <f>+#REF!*$F$12</f>
        <v>#REF!</v>
      </c>
      <c r="G419" s="47">
        <f t="shared" si="41"/>
        <v>14125</v>
      </c>
    </row>
    <row r="420" spans="2:16" x14ac:dyDescent="0.2">
      <c r="C420" s="10" t="s">
        <v>494</v>
      </c>
      <c r="D420" s="34">
        <v>14470</v>
      </c>
      <c r="E420" s="11">
        <f t="shared" si="40"/>
        <v>1881.1000000000001</v>
      </c>
      <c r="F420" s="36"/>
      <c r="G420" s="47">
        <f t="shared" si="41"/>
        <v>16351.1</v>
      </c>
    </row>
    <row r="421" spans="2:16" s="52" customFormat="1" x14ac:dyDescent="0.2">
      <c r="B421" s="10"/>
      <c r="C421" s="10" t="s">
        <v>509</v>
      </c>
      <c r="D421" s="34">
        <v>5800</v>
      </c>
      <c r="E421" s="11">
        <f t="shared" si="40"/>
        <v>754</v>
      </c>
      <c r="F421" s="36"/>
      <c r="G421" s="47">
        <f t="shared" si="41"/>
        <v>6554</v>
      </c>
      <c r="H421" s="5"/>
      <c r="I421" s="5"/>
      <c r="J421" s="5"/>
      <c r="K421" s="5"/>
      <c r="L421" s="5"/>
      <c r="M421" s="5"/>
      <c r="N421" s="5"/>
      <c r="O421" s="5"/>
      <c r="P421" s="5"/>
    </row>
    <row r="422" spans="2:16" x14ac:dyDescent="0.2">
      <c r="C422" s="10" t="s">
        <v>508</v>
      </c>
      <c r="D422" s="34">
        <v>4550</v>
      </c>
      <c r="E422" s="11">
        <f t="shared" si="40"/>
        <v>591.5</v>
      </c>
      <c r="F422" s="35"/>
      <c r="G422" s="47">
        <f t="shared" si="41"/>
        <v>5141.5</v>
      </c>
    </row>
    <row r="423" spans="2:16" x14ac:dyDescent="0.2">
      <c r="C423" s="10" t="s">
        <v>716</v>
      </c>
      <c r="D423" s="34">
        <v>3700</v>
      </c>
      <c r="E423" s="11">
        <f t="shared" si="40"/>
        <v>481</v>
      </c>
      <c r="F423" s="35"/>
      <c r="G423" s="47">
        <f t="shared" si="41"/>
        <v>4181</v>
      </c>
    </row>
    <row r="424" spans="2:16" x14ac:dyDescent="0.2">
      <c r="C424" s="10" t="s">
        <v>717</v>
      </c>
      <c r="D424" s="34">
        <v>7000</v>
      </c>
      <c r="E424" s="11">
        <f t="shared" si="40"/>
        <v>910</v>
      </c>
      <c r="F424" s="35"/>
      <c r="G424" s="47">
        <f t="shared" si="41"/>
        <v>7910</v>
      </c>
    </row>
    <row r="425" spans="2:16" x14ac:dyDescent="0.2">
      <c r="C425" s="10" t="s">
        <v>252</v>
      </c>
      <c r="D425" s="34">
        <v>15820</v>
      </c>
      <c r="E425" s="11">
        <f t="shared" si="40"/>
        <v>2056.6</v>
      </c>
      <c r="F425" s="36">
        <f t="shared" ref="F425:F435" si="43">+E426*$F$12</f>
        <v>247.97500000000002</v>
      </c>
      <c r="G425" s="47">
        <f t="shared" si="41"/>
        <v>17876.599999999999</v>
      </c>
    </row>
    <row r="426" spans="2:16" x14ac:dyDescent="0.2">
      <c r="C426" s="10" t="s">
        <v>253</v>
      </c>
      <c r="D426" s="34">
        <v>19075</v>
      </c>
      <c r="E426" s="11">
        <f t="shared" si="40"/>
        <v>2479.75</v>
      </c>
      <c r="F426" s="36" t="e">
        <f>+#REF!*$F$12</f>
        <v>#REF!</v>
      </c>
      <c r="G426" s="47">
        <f t="shared" si="41"/>
        <v>21554.75</v>
      </c>
    </row>
    <row r="427" spans="2:16" x14ac:dyDescent="0.2">
      <c r="C427" s="10" t="s">
        <v>699</v>
      </c>
      <c r="D427" s="34">
        <v>10245</v>
      </c>
      <c r="E427" s="11">
        <f t="shared" si="40"/>
        <v>1331.8500000000001</v>
      </c>
      <c r="F427" s="36"/>
      <c r="G427" s="47">
        <f t="shared" si="41"/>
        <v>11576.85</v>
      </c>
    </row>
    <row r="428" spans="2:16" x14ac:dyDescent="0.2">
      <c r="C428" s="10" t="s">
        <v>700</v>
      </c>
      <c r="D428" s="34">
        <v>10245</v>
      </c>
      <c r="E428" s="11">
        <f t="shared" si="40"/>
        <v>1331.8500000000001</v>
      </c>
      <c r="F428" s="36"/>
      <c r="G428" s="47">
        <f t="shared" si="41"/>
        <v>11576.85</v>
      </c>
    </row>
    <row r="429" spans="2:16" x14ac:dyDescent="0.2">
      <c r="C429" s="10" t="s">
        <v>701</v>
      </c>
      <c r="D429" s="34">
        <v>13660</v>
      </c>
      <c r="E429" s="11">
        <f t="shared" si="40"/>
        <v>1775.8</v>
      </c>
      <c r="F429" s="36"/>
      <c r="G429" s="47">
        <f t="shared" si="41"/>
        <v>15435.8</v>
      </c>
    </row>
    <row r="430" spans="2:16" x14ac:dyDescent="0.2">
      <c r="C430" s="53" t="s">
        <v>254</v>
      </c>
      <c r="D430" s="34">
        <v>11230</v>
      </c>
      <c r="E430" s="54">
        <f t="shared" si="40"/>
        <v>1459.9</v>
      </c>
      <c r="F430" s="36" t="e">
        <f>+#REF!*$F$12</f>
        <v>#REF!</v>
      </c>
      <c r="G430" s="47">
        <f t="shared" si="41"/>
        <v>12689.9</v>
      </c>
    </row>
    <row r="431" spans="2:16" x14ac:dyDescent="0.2">
      <c r="C431" s="10" t="s">
        <v>255</v>
      </c>
      <c r="D431" s="34">
        <v>8145</v>
      </c>
      <c r="E431" s="11">
        <f t="shared" si="40"/>
        <v>1058.8500000000001</v>
      </c>
      <c r="F431" s="37">
        <v>7700</v>
      </c>
      <c r="G431" s="47">
        <f t="shared" si="41"/>
        <v>9203.85</v>
      </c>
    </row>
    <row r="432" spans="2:16" x14ac:dyDescent="0.2">
      <c r="C432" s="10" t="s">
        <v>256</v>
      </c>
      <c r="D432" s="34">
        <v>8145</v>
      </c>
      <c r="E432" s="11">
        <f t="shared" si="40"/>
        <v>1058.8500000000001</v>
      </c>
      <c r="F432" s="35">
        <f t="shared" si="43"/>
        <v>105.88500000000002</v>
      </c>
      <c r="G432" s="47">
        <f t="shared" si="41"/>
        <v>9203.85</v>
      </c>
    </row>
    <row r="433" spans="3:7" x14ac:dyDescent="0.2">
      <c r="C433" s="10" t="s">
        <v>257</v>
      </c>
      <c r="D433" s="34">
        <v>8145</v>
      </c>
      <c r="E433" s="11">
        <f t="shared" si="40"/>
        <v>1058.8500000000001</v>
      </c>
      <c r="F433" s="35">
        <f t="shared" si="43"/>
        <v>105.88500000000002</v>
      </c>
      <c r="G433" s="47">
        <f t="shared" si="41"/>
        <v>9203.85</v>
      </c>
    </row>
    <row r="434" spans="3:7" x14ac:dyDescent="0.2">
      <c r="C434" s="10" t="s">
        <v>258</v>
      </c>
      <c r="D434" s="34">
        <v>8145</v>
      </c>
      <c r="E434" s="11">
        <f t="shared" si="40"/>
        <v>1058.8500000000001</v>
      </c>
      <c r="F434" s="35" t="e">
        <f>+#REF!*$F$12</f>
        <v>#REF!</v>
      </c>
      <c r="G434" s="47">
        <f t="shared" si="41"/>
        <v>9203.85</v>
      </c>
    </row>
    <row r="435" spans="3:7" x14ac:dyDescent="0.2">
      <c r="C435" s="10" t="s">
        <v>259</v>
      </c>
      <c r="D435" s="34">
        <v>8145</v>
      </c>
      <c r="E435" s="11">
        <f t="shared" si="40"/>
        <v>1058.8500000000001</v>
      </c>
      <c r="F435" s="35">
        <f t="shared" si="43"/>
        <v>105.88500000000002</v>
      </c>
      <c r="G435" s="47">
        <f t="shared" si="41"/>
        <v>9203.85</v>
      </c>
    </row>
    <row r="436" spans="3:7" x14ac:dyDescent="0.2">
      <c r="C436" s="10" t="s">
        <v>260</v>
      </c>
      <c r="D436" s="34">
        <v>8145</v>
      </c>
      <c r="E436" s="11">
        <f t="shared" si="40"/>
        <v>1058.8500000000001</v>
      </c>
      <c r="F436" s="35" t="e">
        <f>+#REF!*$F$12</f>
        <v>#REF!</v>
      </c>
      <c r="G436" s="47">
        <f t="shared" si="41"/>
        <v>9203.85</v>
      </c>
    </row>
    <row r="437" spans="3:7" x14ac:dyDescent="0.2">
      <c r="C437" s="10" t="s">
        <v>261</v>
      </c>
      <c r="D437" s="34">
        <v>4300</v>
      </c>
      <c r="E437" s="11">
        <f t="shared" ref="E437:E476" si="44">+D437*13%</f>
        <v>559</v>
      </c>
      <c r="F437" s="36">
        <f t="shared" ref="F437:F455" si="45">+E438*$F$12</f>
        <v>55.900000000000006</v>
      </c>
      <c r="G437" s="47">
        <f t="shared" ref="G437:G476" si="46">+D437+E437</f>
        <v>4859</v>
      </c>
    </row>
    <row r="438" spans="3:7" x14ac:dyDescent="0.2">
      <c r="C438" s="10" t="s">
        <v>262</v>
      </c>
      <c r="D438" s="34">
        <v>4300</v>
      </c>
      <c r="E438" s="11">
        <f t="shared" si="44"/>
        <v>559</v>
      </c>
      <c r="F438" s="38">
        <f t="shared" si="45"/>
        <v>55.900000000000006</v>
      </c>
      <c r="G438" s="47">
        <f t="shared" si="46"/>
        <v>4859</v>
      </c>
    </row>
    <row r="439" spans="3:7" x14ac:dyDescent="0.2">
      <c r="C439" s="10" t="s">
        <v>263</v>
      </c>
      <c r="D439" s="34">
        <v>4300</v>
      </c>
      <c r="E439" s="11">
        <f t="shared" si="44"/>
        <v>559</v>
      </c>
      <c r="F439" s="36">
        <f t="shared" si="45"/>
        <v>55.900000000000006</v>
      </c>
      <c r="G439" s="47">
        <f t="shared" si="46"/>
        <v>4859</v>
      </c>
    </row>
    <row r="440" spans="3:7" x14ac:dyDescent="0.2">
      <c r="C440" s="10" t="s">
        <v>472</v>
      </c>
      <c r="D440" s="34">
        <v>4300</v>
      </c>
      <c r="E440" s="11">
        <f t="shared" si="44"/>
        <v>559</v>
      </c>
      <c r="F440" s="36">
        <f t="shared" si="45"/>
        <v>55.900000000000006</v>
      </c>
      <c r="G440" s="47">
        <f t="shared" si="46"/>
        <v>4859</v>
      </c>
    </row>
    <row r="441" spans="3:7" x14ac:dyDescent="0.2">
      <c r="C441" s="10" t="s">
        <v>264</v>
      </c>
      <c r="D441" s="34">
        <v>4300</v>
      </c>
      <c r="E441" s="11">
        <f t="shared" si="44"/>
        <v>559</v>
      </c>
      <c r="F441" s="38">
        <f t="shared" si="45"/>
        <v>63.7</v>
      </c>
      <c r="G441" s="47">
        <f t="shared" si="46"/>
        <v>4859</v>
      </c>
    </row>
    <row r="442" spans="3:7" x14ac:dyDescent="0.2">
      <c r="C442" s="10" t="s">
        <v>265</v>
      </c>
      <c r="D442" s="34">
        <v>4900</v>
      </c>
      <c r="E442" s="11">
        <f t="shared" si="44"/>
        <v>637</v>
      </c>
      <c r="F442" s="35">
        <f t="shared" si="45"/>
        <v>55.900000000000006</v>
      </c>
      <c r="G442" s="47">
        <f t="shared" si="46"/>
        <v>5537</v>
      </c>
    </row>
    <row r="443" spans="3:7" x14ac:dyDescent="0.2">
      <c r="C443" s="10" t="s">
        <v>266</v>
      </c>
      <c r="D443" s="34">
        <v>4300</v>
      </c>
      <c r="E443" s="11">
        <f t="shared" si="44"/>
        <v>559</v>
      </c>
      <c r="F443" s="38">
        <f t="shared" si="45"/>
        <v>50.050000000000004</v>
      </c>
      <c r="G443" s="47">
        <f t="shared" si="46"/>
        <v>4859</v>
      </c>
    </row>
    <row r="444" spans="3:7" x14ac:dyDescent="0.2">
      <c r="C444" s="10" t="s">
        <v>267</v>
      </c>
      <c r="D444" s="34">
        <v>3850</v>
      </c>
      <c r="E444" s="11">
        <f t="shared" si="44"/>
        <v>500.5</v>
      </c>
      <c r="F444" s="36" t="e">
        <f>+#REF!*$F$12</f>
        <v>#REF!</v>
      </c>
      <c r="G444" s="47">
        <f t="shared" si="46"/>
        <v>4350.5</v>
      </c>
    </row>
    <row r="445" spans="3:7" x14ac:dyDescent="0.2">
      <c r="C445" s="10" t="s">
        <v>268</v>
      </c>
      <c r="D445" s="34">
        <v>6650</v>
      </c>
      <c r="E445" s="11">
        <f t="shared" si="44"/>
        <v>864.5</v>
      </c>
      <c r="F445" s="38">
        <f t="shared" si="45"/>
        <v>86.45</v>
      </c>
      <c r="G445" s="47">
        <f t="shared" si="46"/>
        <v>7514.5</v>
      </c>
    </row>
    <row r="446" spans="3:7" x14ac:dyDescent="0.2">
      <c r="C446" s="10" t="s">
        <v>269</v>
      </c>
      <c r="D446" s="34">
        <v>6650</v>
      </c>
      <c r="E446" s="11">
        <f t="shared" si="44"/>
        <v>864.5</v>
      </c>
      <c r="F446" s="38">
        <f t="shared" si="45"/>
        <v>86.45</v>
      </c>
      <c r="G446" s="47">
        <f t="shared" si="46"/>
        <v>7514.5</v>
      </c>
    </row>
    <row r="447" spans="3:7" x14ac:dyDescent="0.2">
      <c r="C447" s="10" t="s">
        <v>270</v>
      </c>
      <c r="D447" s="34">
        <v>6650</v>
      </c>
      <c r="E447" s="11">
        <f t="shared" si="44"/>
        <v>864.5</v>
      </c>
      <c r="F447" s="38">
        <f t="shared" si="45"/>
        <v>86.45</v>
      </c>
      <c r="G447" s="47">
        <f t="shared" si="46"/>
        <v>7514.5</v>
      </c>
    </row>
    <row r="448" spans="3:7" x14ac:dyDescent="0.2">
      <c r="C448" s="10" t="s">
        <v>271</v>
      </c>
      <c r="D448" s="34">
        <v>6650</v>
      </c>
      <c r="E448" s="11">
        <f t="shared" si="44"/>
        <v>864.5</v>
      </c>
      <c r="F448" s="38">
        <f t="shared" si="45"/>
        <v>90.350000000000009</v>
      </c>
      <c r="G448" s="47">
        <f t="shared" si="46"/>
        <v>7514.5</v>
      </c>
    </row>
    <row r="449" spans="3:7" x14ac:dyDescent="0.2">
      <c r="C449" s="10" t="s">
        <v>272</v>
      </c>
      <c r="D449" s="34">
        <v>6950</v>
      </c>
      <c r="E449" s="11">
        <f t="shared" si="44"/>
        <v>903.5</v>
      </c>
      <c r="F449" s="38">
        <f t="shared" si="45"/>
        <v>108.03</v>
      </c>
      <c r="G449" s="47">
        <f t="shared" si="46"/>
        <v>7853.5</v>
      </c>
    </row>
    <row r="450" spans="3:7" x14ac:dyDescent="0.2">
      <c r="C450" s="10" t="s">
        <v>273</v>
      </c>
      <c r="D450" s="34">
        <v>8310</v>
      </c>
      <c r="E450" s="11">
        <f t="shared" si="44"/>
        <v>1080.3</v>
      </c>
      <c r="F450" s="36">
        <f t="shared" si="45"/>
        <v>59.345000000000006</v>
      </c>
      <c r="G450" s="47">
        <f t="shared" si="46"/>
        <v>9390.2999999999993</v>
      </c>
    </row>
    <row r="451" spans="3:7" x14ac:dyDescent="0.2">
      <c r="C451" s="10" t="s">
        <v>274</v>
      </c>
      <c r="D451" s="34">
        <v>4565</v>
      </c>
      <c r="E451" s="11">
        <f t="shared" si="44"/>
        <v>593.45000000000005</v>
      </c>
      <c r="F451" s="36">
        <f t="shared" si="45"/>
        <v>59.345000000000006</v>
      </c>
      <c r="G451" s="47">
        <f t="shared" si="46"/>
        <v>5158.45</v>
      </c>
    </row>
    <row r="452" spans="3:7" x14ac:dyDescent="0.2">
      <c r="C452" s="10" t="s">
        <v>275</v>
      </c>
      <c r="D452" s="34">
        <v>4565</v>
      </c>
      <c r="E452" s="11">
        <f t="shared" si="44"/>
        <v>593.45000000000005</v>
      </c>
      <c r="F452" s="36">
        <f t="shared" si="45"/>
        <v>108.03</v>
      </c>
      <c r="G452" s="47">
        <f t="shared" si="46"/>
        <v>5158.45</v>
      </c>
    </row>
    <row r="453" spans="3:7" x14ac:dyDescent="0.2">
      <c r="C453" s="10" t="s">
        <v>276</v>
      </c>
      <c r="D453" s="34">
        <v>8310</v>
      </c>
      <c r="E453" s="11">
        <f t="shared" si="44"/>
        <v>1080.3</v>
      </c>
      <c r="F453" s="36">
        <f t="shared" si="45"/>
        <v>108.03</v>
      </c>
      <c r="G453" s="47">
        <f t="shared" si="46"/>
        <v>9390.2999999999993</v>
      </c>
    </row>
    <row r="454" spans="3:7" x14ac:dyDescent="0.2">
      <c r="C454" s="10" t="s">
        <v>277</v>
      </c>
      <c r="D454" s="34">
        <v>8310</v>
      </c>
      <c r="E454" s="11">
        <f t="shared" si="44"/>
        <v>1080.3</v>
      </c>
      <c r="F454" s="36">
        <f t="shared" si="45"/>
        <v>59.345000000000006</v>
      </c>
      <c r="G454" s="47">
        <f t="shared" si="46"/>
        <v>9390.2999999999993</v>
      </c>
    </row>
    <row r="455" spans="3:7" x14ac:dyDescent="0.2">
      <c r="C455" s="10" t="s">
        <v>278</v>
      </c>
      <c r="D455" s="34">
        <v>4565</v>
      </c>
      <c r="E455" s="11">
        <f t="shared" si="44"/>
        <v>593.45000000000005</v>
      </c>
      <c r="F455" s="36">
        <f t="shared" si="45"/>
        <v>59.345000000000006</v>
      </c>
      <c r="G455" s="47">
        <f t="shared" si="46"/>
        <v>5158.45</v>
      </c>
    </row>
    <row r="456" spans="3:7" x14ac:dyDescent="0.2">
      <c r="C456" s="10" t="s">
        <v>279</v>
      </c>
      <c r="D456" s="34">
        <v>4565</v>
      </c>
      <c r="E456" s="11">
        <f t="shared" si="44"/>
        <v>593.45000000000005</v>
      </c>
      <c r="F456" s="36"/>
      <c r="G456" s="47">
        <f t="shared" si="46"/>
        <v>5158.45</v>
      </c>
    </row>
    <row r="457" spans="3:7" x14ac:dyDescent="0.2">
      <c r="C457" s="10" t="s">
        <v>280</v>
      </c>
      <c r="D457" s="34">
        <v>8310</v>
      </c>
      <c r="E457" s="11">
        <f t="shared" si="44"/>
        <v>1080.3</v>
      </c>
      <c r="F457" s="36"/>
      <c r="G457" s="47">
        <f t="shared" si="46"/>
        <v>9390.2999999999993</v>
      </c>
    </row>
    <row r="458" spans="3:7" x14ac:dyDescent="0.2">
      <c r="C458" s="10" t="s">
        <v>281</v>
      </c>
      <c r="D458" s="34">
        <v>6415</v>
      </c>
      <c r="E458" s="11">
        <f t="shared" si="44"/>
        <v>833.95</v>
      </c>
      <c r="F458" s="36"/>
      <c r="G458" s="47">
        <f t="shared" si="46"/>
        <v>7248.95</v>
      </c>
    </row>
    <row r="459" spans="3:7" x14ac:dyDescent="0.2">
      <c r="C459" s="10" t="s">
        <v>282</v>
      </c>
      <c r="D459" s="34">
        <v>6375</v>
      </c>
      <c r="E459" s="11">
        <f t="shared" si="44"/>
        <v>828.75</v>
      </c>
      <c r="F459" s="36"/>
      <c r="G459" s="47">
        <f t="shared" si="46"/>
        <v>7203.75</v>
      </c>
    </row>
    <row r="460" spans="3:7" x14ac:dyDescent="0.2">
      <c r="C460" s="10" t="s">
        <v>718</v>
      </c>
      <c r="D460" s="34">
        <v>6910</v>
      </c>
      <c r="E460" s="11">
        <f t="shared" si="44"/>
        <v>898.30000000000007</v>
      </c>
      <c r="F460" s="36">
        <f>+E461*$F$12</f>
        <v>50.050000000000004</v>
      </c>
      <c r="G460" s="47">
        <f t="shared" si="46"/>
        <v>7808.3</v>
      </c>
    </row>
    <row r="461" spans="3:7" x14ac:dyDescent="0.2">
      <c r="C461" s="10" t="s">
        <v>283</v>
      </c>
      <c r="D461" s="34">
        <v>3850</v>
      </c>
      <c r="E461" s="11">
        <f t="shared" si="44"/>
        <v>500.5</v>
      </c>
      <c r="F461" s="36">
        <f t="shared" ref="F461:F478" si="47">+E462*$F$12</f>
        <v>50.050000000000004</v>
      </c>
      <c r="G461" s="47">
        <f t="shared" si="46"/>
        <v>4350.5</v>
      </c>
    </row>
    <row r="462" spans="3:7" x14ac:dyDescent="0.2">
      <c r="C462" s="10" t="s">
        <v>284</v>
      </c>
      <c r="D462" s="34">
        <v>3850</v>
      </c>
      <c r="E462" s="11">
        <f t="shared" si="44"/>
        <v>500.5</v>
      </c>
      <c r="F462" s="36">
        <f t="shared" si="47"/>
        <v>50.050000000000004</v>
      </c>
      <c r="G462" s="47">
        <f t="shared" si="46"/>
        <v>4350.5</v>
      </c>
    </row>
    <row r="463" spans="3:7" x14ac:dyDescent="0.2">
      <c r="C463" s="10" t="s">
        <v>285</v>
      </c>
      <c r="D463" s="34">
        <v>3850</v>
      </c>
      <c r="E463" s="11">
        <f t="shared" si="44"/>
        <v>500.5</v>
      </c>
      <c r="F463" s="36">
        <f t="shared" si="47"/>
        <v>50.050000000000004</v>
      </c>
      <c r="G463" s="47">
        <f t="shared" si="46"/>
        <v>4350.5</v>
      </c>
    </row>
    <row r="464" spans="3:7" x14ac:dyDescent="0.2">
      <c r="C464" s="10" t="s">
        <v>286</v>
      </c>
      <c r="D464" s="34">
        <v>3850</v>
      </c>
      <c r="E464" s="11">
        <f t="shared" si="44"/>
        <v>500.5</v>
      </c>
      <c r="F464" s="36">
        <f>+E465*$F$12</f>
        <v>104.97500000000001</v>
      </c>
      <c r="G464" s="47">
        <f t="shared" si="46"/>
        <v>4350.5</v>
      </c>
    </row>
    <row r="465" spans="2:15" x14ac:dyDescent="0.2">
      <c r="C465" s="53" t="s">
        <v>287</v>
      </c>
      <c r="D465" s="34">
        <v>8075</v>
      </c>
      <c r="E465" s="54">
        <f t="shared" si="44"/>
        <v>1049.75</v>
      </c>
      <c r="F465" s="36">
        <f t="shared" si="47"/>
        <v>104.84500000000001</v>
      </c>
      <c r="G465" s="47">
        <f t="shared" si="46"/>
        <v>9124.75</v>
      </c>
    </row>
    <row r="466" spans="2:15" x14ac:dyDescent="0.2">
      <c r="C466" s="10" t="s">
        <v>288</v>
      </c>
      <c r="D466" s="34">
        <v>8065</v>
      </c>
      <c r="E466" s="11">
        <f t="shared" si="44"/>
        <v>1048.45</v>
      </c>
      <c r="F466" s="36">
        <f t="shared" si="47"/>
        <v>104.84500000000001</v>
      </c>
      <c r="G466" s="47">
        <f t="shared" si="46"/>
        <v>9113.4500000000007</v>
      </c>
    </row>
    <row r="467" spans="2:15" x14ac:dyDescent="0.2">
      <c r="C467" s="53" t="s">
        <v>289</v>
      </c>
      <c r="D467" s="34">
        <v>8065</v>
      </c>
      <c r="E467" s="54">
        <f t="shared" si="44"/>
        <v>1048.45</v>
      </c>
      <c r="F467" s="36">
        <f t="shared" si="47"/>
        <v>104.97500000000001</v>
      </c>
      <c r="G467" s="47">
        <f t="shared" si="46"/>
        <v>9113.4500000000007</v>
      </c>
    </row>
    <row r="468" spans="2:15" x14ac:dyDescent="0.2">
      <c r="C468" s="10" t="s">
        <v>290</v>
      </c>
      <c r="D468" s="34">
        <v>8075</v>
      </c>
      <c r="E468" s="11">
        <f t="shared" si="44"/>
        <v>1049.75</v>
      </c>
      <c r="F468" s="36">
        <f t="shared" si="47"/>
        <v>104.97500000000001</v>
      </c>
      <c r="G468" s="47">
        <f t="shared" si="46"/>
        <v>9124.75</v>
      </c>
    </row>
    <row r="469" spans="2:15" x14ac:dyDescent="0.2">
      <c r="C469" s="10" t="s">
        <v>291</v>
      </c>
      <c r="D469" s="34">
        <v>8075</v>
      </c>
      <c r="E469" s="11">
        <f t="shared" si="44"/>
        <v>1049.75</v>
      </c>
      <c r="F469" s="36" t="e">
        <f>+#REF!*$F$12</f>
        <v>#REF!</v>
      </c>
      <c r="G469" s="47">
        <f t="shared" si="46"/>
        <v>9124.75</v>
      </c>
    </row>
    <row r="470" spans="2:15" x14ac:dyDescent="0.2">
      <c r="C470" s="10" t="s">
        <v>292</v>
      </c>
      <c r="D470" s="34">
        <v>13190</v>
      </c>
      <c r="E470" s="11">
        <f t="shared" si="44"/>
        <v>1714.7</v>
      </c>
      <c r="F470" s="36">
        <f t="shared" si="47"/>
        <v>153.4</v>
      </c>
      <c r="G470" s="47">
        <f t="shared" si="46"/>
        <v>14904.7</v>
      </c>
    </row>
    <row r="471" spans="2:15" x14ac:dyDescent="0.2">
      <c r="C471" s="10" t="s">
        <v>293</v>
      </c>
      <c r="D471" s="34">
        <v>11800</v>
      </c>
      <c r="E471" s="11">
        <f t="shared" si="44"/>
        <v>1534</v>
      </c>
      <c r="F471" s="36">
        <f t="shared" si="47"/>
        <v>132.34</v>
      </c>
      <c r="G471" s="47">
        <f t="shared" si="46"/>
        <v>13334</v>
      </c>
    </row>
    <row r="472" spans="2:15" x14ac:dyDescent="0.2">
      <c r="C472" s="10" t="s">
        <v>294</v>
      </c>
      <c r="D472" s="34">
        <v>10180</v>
      </c>
      <c r="E472" s="11">
        <f t="shared" si="44"/>
        <v>1323.4</v>
      </c>
      <c r="F472" s="36">
        <f t="shared" si="47"/>
        <v>156.71500000000003</v>
      </c>
      <c r="G472" s="47">
        <f t="shared" si="46"/>
        <v>11503.4</v>
      </c>
    </row>
    <row r="473" spans="2:15" x14ac:dyDescent="0.2">
      <c r="C473" s="10" t="s">
        <v>295</v>
      </c>
      <c r="D473" s="34">
        <v>12055</v>
      </c>
      <c r="E473" s="11">
        <f t="shared" si="44"/>
        <v>1567.15</v>
      </c>
      <c r="F473" s="36">
        <f t="shared" si="47"/>
        <v>177.19000000000003</v>
      </c>
      <c r="G473" s="47">
        <f t="shared" si="46"/>
        <v>13622.15</v>
      </c>
    </row>
    <row r="474" spans="2:15" x14ac:dyDescent="0.2">
      <c r="C474" s="10" t="s">
        <v>296</v>
      </c>
      <c r="D474" s="34">
        <v>13630</v>
      </c>
      <c r="E474" s="11">
        <f t="shared" si="44"/>
        <v>1771.9</v>
      </c>
      <c r="F474" s="36">
        <f t="shared" si="47"/>
        <v>140.14000000000001</v>
      </c>
      <c r="G474" s="47">
        <f t="shared" si="46"/>
        <v>15401.9</v>
      </c>
    </row>
    <row r="475" spans="2:15" x14ac:dyDescent="0.2">
      <c r="C475" s="10" t="s">
        <v>297</v>
      </c>
      <c r="D475" s="34">
        <v>10780</v>
      </c>
      <c r="E475" s="11">
        <f t="shared" si="44"/>
        <v>1401.4</v>
      </c>
      <c r="F475" s="36" t="e">
        <f>+#REF!*$F$12</f>
        <v>#REF!</v>
      </c>
      <c r="G475" s="47">
        <f t="shared" si="46"/>
        <v>12181.4</v>
      </c>
    </row>
    <row r="476" spans="2:15" x14ac:dyDescent="0.2">
      <c r="C476" s="10" t="s">
        <v>603</v>
      </c>
      <c r="D476" s="34">
        <v>2945</v>
      </c>
      <c r="E476" s="11">
        <f t="shared" si="44"/>
        <v>382.85</v>
      </c>
      <c r="F476" s="36"/>
      <c r="G476" s="47">
        <f t="shared" si="46"/>
        <v>3327.85</v>
      </c>
    </row>
    <row r="477" spans="2:15" s="52" customFormat="1" x14ac:dyDescent="0.2">
      <c r="B477" s="1"/>
      <c r="C477" s="10" t="s">
        <v>298</v>
      </c>
      <c r="D477" s="34">
        <v>12215</v>
      </c>
      <c r="E477" s="11">
        <f t="shared" ref="E477:E500" si="48">+D477*13%</f>
        <v>1587.95</v>
      </c>
      <c r="F477" s="36" t="e">
        <f>+#REF!*$F$12</f>
        <v>#REF!</v>
      </c>
      <c r="G477" s="47">
        <f t="shared" ref="G477:G500" si="49">+D477+E477</f>
        <v>13802.95</v>
      </c>
      <c r="H477" s="5"/>
      <c r="I477" s="5"/>
      <c r="J477" s="5"/>
      <c r="K477" s="5"/>
      <c r="L477" s="5"/>
      <c r="M477" s="5"/>
      <c r="N477" s="5"/>
      <c r="O477" s="5"/>
    </row>
    <row r="478" spans="2:15" x14ac:dyDescent="0.2">
      <c r="C478" s="10" t="s">
        <v>299</v>
      </c>
      <c r="D478" s="34">
        <v>5850</v>
      </c>
      <c r="E478" s="11">
        <f t="shared" si="48"/>
        <v>760.5</v>
      </c>
      <c r="F478" s="36">
        <f t="shared" si="47"/>
        <v>76.05</v>
      </c>
      <c r="G478" s="47">
        <f t="shared" si="49"/>
        <v>6610.5</v>
      </c>
    </row>
    <row r="479" spans="2:15" x14ac:dyDescent="0.2">
      <c r="C479" s="10" t="s">
        <v>300</v>
      </c>
      <c r="D479" s="34">
        <v>5850</v>
      </c>
      <c r="E479" s="11">
        <f t="shared" si="48"/>
        <v>760.5</v>
      </c>
      <c r="F479" s="36">
        <f t="shared" ref="F479:F485" si="50">+E480*$F$12</f>
        <v>126.75</v>
      </c>
      <c r="G479" s="47">
        <f t="shared" si="49"/>
        <v>6610.5</v>
      </c>
    </row>
    <row r="480" spans="2:15" x14ac:dyDescent="0.2">
      <c r="C480" s="10" t="s">
        <v>301</v>
      </c>
      <c r="D480" s="34">
        <v>9750</v>
      </c>
      <c r="E480" s="11">
        <f t="shared" si="48"/>
        <v>1267.5</v>
      </c>
      <c r="F480" s="36">
        <f t="shared" si="50"/>
        <v>234.06500000000003</v>
      </c>
      <c r="G480" s="47">
        <f t="shared" si="49"/>
        <v>11017.5</v>
      </c>
    </row>
    <row r="481" spans="3:7" x14ac:dyDescent="0.2">
      <c r="C481" s="10" t="s">
        <v>302</v>
      </c>
      <c r="D481" s="34">
        <v>18005</v>
      </c>
      <c r="E481" s="11">
        <f t="shared" si="48"/>
        <v>2340.65</v>
      </c>
      <c r="F481" s="36" t="e">
        <f>+#REF!*$F$12</f>
        <v>#REF!</v>
      </c>
      <c r="G481" s="47">
        <f t="shared" si="49"/>
        <v>20345.650000000001</v>
      </c>
    </row>
    <row r="482" spans="3:7" x14ac:dyDescent="0.2">
      <c r="C482" s="10" t="s">
        <v>541</v>
      </c>
      <c r="D482" s="34">
        <v>8720</v>
      </c>
      <c r="E482" s="11">
        <f t="shared" si="48"/>
        <v>1133.6000000000001</v>
      </c>
      <c r="F482" s="36">
        <f>+E484*$F$12</f>
        <v>116.09000000000002</v>
      </c>
      <c r="G482" s="47">
        <f t="shared" si="49"/>
        <v>9853.6</v>
      </c>
    </row>
    <row r="483" spans="3:7" x14ac:dyDescent="0.2">
      <c r="C483" s="10" t="s">
        <v>496</v>
      </c>
      <c r="D483" s="34">
        <v>13000</v>
      </c>
      <c r="E483" s="11">
        <f t="shared" si="48"/>
        <v>1690</v>
      </c>
      <c r="F483" s="36"/>
      <c r="G483" s="47">
        <f t="shared" si="49"/>
        <v>14690</v>
      </c>
    </row>
    <row r="484" spans="3:7" x14ac:dyDescent="0.2">
      <c r="C484" s="10" t="s">
        <v>303</v>
      </c>
      <c r="D484" s="43">
        <v>8930</v>
      </c>
      <c r="E484" s="11">
        <f t="shared" si="48"/>
        <v>1160.9000000000001</v>
      </c>
      <c r="F484" s="36" t="e">
        <f>+#REF!*$F$12</f>
        <v>#REF!</v>
      </c>
      <c r="G484" s="47">
        <f t="shared" ref="G484:G486" si="51">+D484+E484</f>
        <v>10090.9</v>
      </c>
    </row>
    <row r="485" spans="3:7" x14ac:dyDescent="0.2">
      <c r="C485" s="10" t="s">
        <v>304</v>
      </c>
      <c r="D485" s="34">
        <v>11185</v>
      </c>
      <c r="E485" s="11">
        <f t="shared" si="48"/>
        <v>1454.05</v>
      </c>
      <c r="F485" s="41">
        <f t="shared" si="50"/>
        <v>172.9</v>
      </c>
      <c r="G485" s="47">
        <f t="shared" si="51"/>
        <v>12639.05</v>
      </c>
    </row>
    <row r="486" spans="3:7" x14ac:dyDescent="0.2">
      <c r="C486" s="10" t="s">
        <v>305</v>
      </c>
      <c r="D486" s="34">
        <v>13300</v>
      </c>
      <c r="E486" s="11">
        <f t="shared" si="48"/>
        <v>1729</v>
      </c>
      <c r="F486" s="36" t="e">
        <f>+#REF!*$F$12</f>
        <v>#REF!</v>
      </c>
      <c r="G486" s="47">
        <f t="shared" si="51"/>
        <v>15029</v>
      </c>
    </row>
    <row r="487" spans="3:7" x14ac:dyDescent="0.2">
      <c r="C487" s="10" t="s">
        <v>307</v>
      </c>
      <c r="D487" s="34">
        <v>5500</v>
      </c>
      <c r="E487" s="11">
        <f t="shared" si="48"/>
        <v>715</v>
      </c>
      <c r="F487" s="35"/>
      <c r="G487" s="47">
        <f t="shared" si="49"/>
        <v>6215</v>
      </c>
    </row>
    <row r="488" spans="3:7" x14ac:dyDescent="0.2">
      <c r="C488" s="10" t="s">
        <v>306</v>
      </c>
      <c r="D488" s="34">
        <v>5500</v>
      </c>
      <c r="E488" s="11">
        <f t="shared" si="48"/>
        <v>715</v>
      </c>
      <c r="F488" s="35"/>
      <c r="G488" s="47">
        <f t="shared" si="49"/>
        <v>6215</v>
      </c>
    </row>
    <row r="489" spans="3:7" x14ac:dyDescent="0.2">
      <c r="C489" s="10" t="s">
        <v>308</v>
      </c>
      <c r="D489" s="34">
        <v>5500</v>
      </c>
      <c r="E489" s="11">
        <f t="shared" si="48"/>
        <v>715</v>
      </c>
      <c r="F489" s="35"/>
      <c r="G489" s="47">
        <f t="shared" si="49"/>
        <v>6215</v>
      </c>
    </row>
    <row r="490" spans="3:7" x14ac:dyDescent="0.2">
      <c r="C490" s="10" t="s">
        <v>309</v>
      </c>
      <c r="D490" s="34">
        <v>7900</v>
      </c>
      <c r="E490" s="11">
        <f t="shared" si="48"/>
        <v>1027</v>
      </c>
      <c r="F490" s="35"/>
      <c r="G490" s="47">
        <f t="shared" si="49"/>
        <v>8927</v>
      </c>
    </row>
    <row r="491" spans="3:7" x14ac:dyDescent="0.2">
      <c r="C491" s="10" t="s">
        <v>839</v>
      </c>
      <c r="D491" s="34">
        <v>8535</v>
      </c>
      <c r="E491" s="11">
        <f t="shared" si="48"/>
        <v>1109.55</v>
      </c>
      <c r="F491" s="36"/>
      <c r="G491" s="47">
        <f t="shared" si="49"/>
        <v>9644.5499999999993</v>
      </c>
    </row>
    <row r="492" spans="3:7" x14ac:dyDescent="0.2">
      <c r="C492" s="10" t="s">
        <v>310</v>
      </c>
      <c r="D492" s="34">
        <v>7460</v>
      </c>
      <c r="E492" s="11">
        <f t="shared" si="48"/>
        <v>969.80000000000007</v>
      </c>
      <c r="F492" s="35"/>
      <c r="G492" s="47">
        <f t="shared" si="49"/>
        <v>8429.7999999999993</v>
      </c>
    </row>
    <row r="493" spans="3:7" x14ac:dyDescent="0.2">
      <c r="C493" s="10" t="s">
        <v>311</v>
      </c>
      <c r="D493" s="34">
        <v>10000</v>
      </c>
      <c r="E493" s="11">
        <f t="shared" si="48"/>
        <v>1300</v>
      </c>
      <c r="F493" s="36"/>
      <c r="G493" s="47">
        <f t="shared" si="49"/>
        <v>11300</v>
      </c>
    </row>
    <row r="494" spans="3:7" x14ac:dyDescent="0.2">
      <c r="C494" s="10" t="s">
        <v>312</v>
      </c>
      <c r="D494" s="34">
        <v>7500</v>
      </c>
      <c r="E494" s="11">
        <f t="shared" si="48"/>
        <v>975</v>
      </c>
      <c r="F494" s="35" t="e">
        <f>+#REF!*$F$12</f>
        <v>#REF!</v>
      </c>
      <c r="G494" s="47">
        <f t="shared" si="49"/>
        <v>8475</v>
      </c>
    </row>
    <row r="495" spans="3:7" x14ac:dyDescent="0.2">
      <c r="C495" s="10" t="s">
        <v>313</v>
      </c>
      <c r="D495" s="34">
        <v>6815</v>
      </c>
      <c r="E495" s="11">
        <f t="shared" si="48"/>
        <v>885.95</v>
      </c>
      <c r="F495" s="36"/>
      <c r="G495" s="47">
        <f t="shared" si="49"/>
        <v>7700.95</v>
      </c>
    </row>
    <row r="496" spans="3:7" x14ac:dyDescent="0.2">
      <c r="C496" s="10" t="s">
        <v>314</v>
      </c>
      <c r="D496" s="34">
        <v>1328</v>
      </c>
      <c r="E496" s="11">
        <f t="shared" si="48"/>
        <v>172.64000000000001</v>
      </c>
      <c r="F496" s="37">
        <v>5500</v>
      </c>
      <c r="G496" s="47">
        <f t="shared" si="49"/>
        <v>1500.64</v>
      </c>
    </row>
    <row r="497" spans="3:7" x14ac:dyDescent="0.2">
      <c r="C497" s="10" t="s">
        <v>315</v>
      </c>
      <c r="D497" s="34">
        <v>1770</v>
      </c>
      <c r="E497" s="11">
        <f t="shared" si="48"/>
        <v>230.1</v>
      </c>
      <c r="F497" s="35" t="e">
        <f>+#REF!*$F$12</f>
        <v>#REF!</v>
      </c>
      <c r="G497" s="47">
        <f t="shared" si="49"/>
        <v>2000.1</v>
      </c>
    </row>
    <row r="498" spans="3:7" x14ac:dyDescent="0.2">
      <c r="C498" s="10" t="s">
        <v>316</v>
      </c>
      <c r="D498" s="34">
        <v>12035</v>
      </c>
      <c r="E498" s="11">
        <f t="shared" si="48"/>
        <v>1564.55</v>
      </c>
      <c r="F498" s="36"/>
      <c r="G498" s="47">
        <f t="shared" si="49"/>
        <v>13599.55</v>
      </c>
    </row>
    <row r="499" spans="3:7" x14ac:dyDescent="0.2">
      <c r="C499" s="10" t="s">
        <v>317</v>
      </c>
      <c r="D499" s="34">
        <v>9300</v>
      </c>
      <c r="E499" s="11">
        <f t="shared" si="48"/>
        <v>1209</v>
      </c>
      <c r="F499" s="35"/>
      <c r="G499" s="47">
        <f t="shared" si="49"/>
        <v>10509</v>
      </c>
    </row>
    <row r="500" spans="3:7" x14ac:dyDescent="0.2">
      <c r="C500" s="10" t="s">
        <v>811</v>
      </c>
      <c r="D500" s="34">
        <v>11240</v>
      </c>
      <c r="E500" s="11">
        <f t="shared" si="48"/>
        <v>1461.2</v>
      </c>
      <c r="F500" s="35"/>
      <c r="G500" s="47">
        <f t="shared" si="49"/>
        <v>12701.2</v>
      </c>
    </row>
    <row r="501" spans="3:7" x14ac:dyDescent="0.2">
      <c r="C501" s="10" t="s">
        <v>810</v>
      </c>
      <c r="D501" s="34">
        <v>11415</v>
      </c>
      <c r="E501" s="11">
        <v>1484</v>
      </c>
      <c r="F501" s="35"/>
      <c r="G501" s="47">
        <v>12900</v>
      </c>
    </row>
    <row r="502" spans="3:7" x14ac:dyDescent="0.2">
      <c r="C502" s="10" t="s">
        <v>318</v>
      </c>
      <c r="D502" s="34">
        <v>8715</v>
      </c>
      <c r="E502" s="11">
        <f t="shared" ref="E502:E540" si="52">+D502*13%</f>
        <v>1132.95</v>
      </c>
      <c r="F502" s="36"/>
      <c r="G502" s="47">
        <f t="shared" ref="G502:G540" si="53">+D502+E502</f>
        <v>9847.9500000000007</v>
      </c>
    </row>
    <row r="503" spans="3:7" x14ac:dyDescent="0.2">
      <c r="C503" s="10" t="s">
        <v>319</v>
      </c>
      <c r="D503" s="34">
        <v>5500</v>
      </c>
      <c r="E503" s="11">
        <f t="shared" si="52"/>
        <v>715</v>
      </c>
      <c r="F503" s="36"/>
      <c r="G503" s="47">
        <f t="shared" si="53"/>
        <v>6215</v>
      </c>
    </row>
    <row r="504" spans="3:7" x14ac:dyDescent="0.2">
      <c r="C504" s="10" t="s">
        <v>548</v>
      </c>
      <c r="D504" s="34">
        <v>11455</v>
      </c>
      <c r="E504" s="11">
        <f t="shared" si="52"/>
        <v>1489.15</v>
      </c>
      <c r="F504" s="35"/>
      <c r="G504" s="47">
        <f t="shared" si="53"/>
        <v>12944.15</v>
      </c>
    </row>
    <row r="505" spans="3:7" x14ac:dyDescent="0.2">
      <c r="C505" s="10" t="s">
        <v>720</v>
      </c>
      <c r="D505" s="34">
        <v>9385</v>
      </c>
      <c r="E505" s="11">
        <f t="shared" si="52"/>
        <v>1220.05</v>
      </c>
      <c r="F505" s="35"/>
      <c r="G505" s="47">
        <f t="shared" si="53"/>
        <v>10605.05</v>
      </c>
    </row>
    <row r="506" spans="3:7" x14ac:dyDescent="0.2">
      <c r="C506" s="53" t="s">
        <v>320</v>
      </c>
      <c r="D506" s="34">
        <v>3550</v>
      </c>
      <c r="E506" s="54">
        <f t="shared" si="52"/>
        <v>461.5</v>
      </c>
      <c r="F506" s="36"/>
      <c r="G506" s="47">
        <f t="shared" si="53"/>
        <v>4011.5</v>
      </c>
    </row>
    <row r="507" spans="3:7" x14ac:dyDescent="0.2">
      <c r="C507" s="10" t="s">
        <v>321</v>
      </c>
      <c r="D507" s="34">
        <v>3545</v>
      </c>
      <c r="E507" s="11">
        <f t="shared" si="52"/>
        <v>460.85</v>
      </c>
      <c r="F507" s="35"/>
      <c r="G507" s="47">
        <f t="shared" si="53"/>
        <v>4005.85</v>
      </c>
    </row>
    <row r="508" spans="3:7" x14ac:dyDescent="0.2">
      <c r="C508" s="10" t="s">
        <v>322</v>
      </c>
      <c r="D508" s="34">
        <v>3545</v>
      </c>
      <c r="E508" s="11">
        <f t="shared" si="52"/>
        <v>460.85</v>
      </c>
      <c r="F508" s="35">
        <f>+E512*$F$12</f>
        <v>100.42500000000001</v>
      </c>
      <c r="G508" s="47">
        <f t="shared" si="53"/>
        <v>4005.85</v>
      </c>
    </row>
    <row r="509" spans="3:7" x14ac:dyDescent="0.2">
      <c r="C509" s="10" t="s">
        <v>779</v>
      </c>
      <c r="D509" s="34">
        <v>3465</v>
      </c>
      <c r="E509" s="11">
        <f t="shared" si="52"/>
        <v>450.45</v>
      </c>
      <c r="F509" s="35"/>
      <c r="G509" s="47">
        <f t="shared" si="53"/>
        <v>3915.45</v>
      </c>
    </row>
    <row r="510" spans="3:7" x14ac:dyDescent="0.2">
      <c r="C510" s="10" t="s">
        <v>780</v>
      </c>
      <c r="D510" s="34">
        <v>3465</v>
      </c>
      <c r="E510" s="11">
        <f t="shared" si="52"/>
        <v>450.45</v>
      </c>
      <c r="F510" s="35"/>
      <c r="G510" s="47">
        <f t="shared" si="53"/>
        <v>3915.45</v>
      </c>
    </row>
    <row r="511" spans="3:7" x14ac:dyDescent="0.2">
      <c r="C511" s="10" t="s">
        <v>781</v>
      </c>
      <c r="D511" s="34">
        <v>3465</v>
      </c>
      <c r="E511" s="11">
        <f t="shared" si="52"/>
        <v>450.45</v>
      </c>
      <c r="F511" s="35"/>
      <c r="G511" s="47">
        <f t="shared" si="53"/>
        <v>3915.45</v>
      </c>
    </row>
    <row r="512" spans="3:7" x14ac:dyDescent="0.2">
      <c r="C512" s="10" t="s">
        <v>323</v>
      </c>
      <c r="D512" s="34">
        <v>7725</v>
      </c>
      <c r="E512" s="11">
        <f t="shared" si="52"/>
        <v>1004.25</v>
      </c>
      <c r="F512" s="36">
        <f t="shared" ref="F512:F527" si="54">+E513*$F$12</f>
        <v>79.95</v>
      </c>
      <c r="G512" s="47">
        <f t="shared" si="53"/>
        <v>8729.25</v>
      </c>
    </row>
    <row r="513" spans="3:7" x14ac:dyDescent="0.2">
      <c r="C513" s="10" t="s">
        <v>324</v>
      </c>
      <c r="D513" s="34">
        <v>6150</v>
      </c>
      <c r="E513" s="11">
        <f t="shared" si="52"/>
        <v>799.5</v>
      </c>
      <c r="F513" s="36">
        <f t="shared" si="54"/>
        <v>100.42500000000001</v>
      </c>
      <c r="G513" s="47">
        <f t="shared" si="53"/>
        <v>6949.5</v>
      </c>
    </row>
    <row r="514" spans="3:7" x14ac:dyDescent="0.2">
      <c r="C514" s="10" t="s">
        <v>325</v>
      </c>
      <c r="D514" s="34">
        <v>7725</v>
      </c>
      <c r="E514" s="11">
        <f t="shared" si="52"/>
        <v>1004.25</v>
      </c>
      <c r="F514" s="36" t="e">
        <f>+#REF!*$F$12</f>
        <v>#REF!</v>
      </c>
      <c r="G514" s="47">
        <f t="shared" si="53"/>
        <v>8729.25</v>
      </c>
    </row>
    <row r="515" spans="3:7" x14ac:dyDescent="0.2">
      <c r="C515" s="10" t="s">
        <v>326</v>
      </c>
      <c r="D515" s="34">
        <v>7725</v>
      </c>
      <c r="E515" s="11">
        <f t="shared" si="52"/>
        <v>1004.25</v>
      </c>
      <c r="F515" s="36">
        <f t="shared" si="54"/>
        <v>132.6</v>
      </c>
      <c r="G515" s="47">
        <f t="shared" si="53"/>
        <v>8729.25</v>
      </c>
    </row>
    <row r="516" spans="3:7" x14ac:dyDescent="0.2">
      <c r="C516" s="10" t="s">
        <v>327</v>
      </c>
      <c r="D516" s="34">
        <v>10200</v>
      </c>
      <c r="E516" s="11">
        <f t="shared" si="52"/>
        <v>1326</v>
      </c>
      <c r="F516" s="36">
        <f t="shared" si="54"/>
        <v>56.420000000000009</v>
      </c>
      <c r="G516" s="47">
        <f t="shared" si="53"/>
        <v>11526</v>
      </c>
    </row>
    <row r="517" spans="3:7" x14ac:dyDescent="0.2">
      <c r="C517" s="10" t="s">
        <v>328</v>
      </c>
      <c r="D517" s="34">
        <v>4340</v>
      </c>
      <c r="E517" s="11">
        <f t="shared" si="52"/>
        <v>564.20000000000005</v>
      </c>
      <c r="F517" s="35">
        <f t="shared" si="54"/>
        <v>93.795000000000016</v>
      </c>
      <c r="G517" s="47">
        <f t="shared" si="53"/>
        <v>4904.2</v>
      </c>
    </row>
    <row r="518" spans="3:7" x14ac:dyDescent="0.2">
      <c r="C518" s="10" t="s">
        <v>329</v>
      </c>
      <c r="D518" s="34">
        <v>7215</v>
      </c>
      <c r="E518" s="11">
        <f t="shared" si="52"/>
        <v>937.95</v>
      </c>
      <c r="F518" s="36">
        <f t="shared" si="54"/>
        <v>100.42500000000001</v>
      </c>
      <c r="G518" s="47">
        <f t="shared" si="53"/>
        <v>8152.95</v>
      </c>
    </row>
    <row r="519" spans="3:7" x14ac:dyDescent="0.2">
      <c r="C519" s="10" t="s">
        <v>330</v>
      </c>
      <c r="D519" s="34">
        <v>7725</v>
      </c>
      <c r="E519" s="11">
        <f t="shared" si="52"/>
        <v>1004.25</v>
      </c>
      <c r="F519" s="36" t="e">
        <f>+#REF!*$F$12</f>
        <v>#REF!</v>
      </c>
      <c r="G519" s="47">
        <f t="shared" si="53"/>
        <v>8729.25</v>
      </c>
    </row>
    <row r="520" spans="3:7" x14ac:dyDescent="0.2">
      <c r="C520" s="10" t="s">
        <v>500</v>
      </c>
      <c r="D520" s="34">
        <v>19000</v>
      </c>
      <c r="E520" s="11">
        <f t="shared" si="52"/>
        <v>2470</v>
      </c>
      <c r="F520" s="35"/>
      <c r="G520" s="47">
        <f t="shared" si="53"/>
        <v>21470</v>
      </c>
    </row>
    <row r="521" spans="3:7" x14ac:dyDescent="0.2">
      <c r="C521" s="10" t="s">
        <v>540</v>
      </c>
      <c r="D521" s="34">
        <v>10265</v>
      </c>
      <c r="E521" s="11">
        <f t="shared" si="52"/>
        <v>1334.45</v>
      </c>
      <c r="F521" s="35"/>
      <c r="G521" s="47">
        <f t="shared" si="53"/>
        <v>11599.45</v>
      </c>
    </row>
    <row r="522" spans="3:7" x14ac:dyDescent="0.2">
      <c r="C522" s="10" t="s">
        <v>331</v>
      </c>
      <c r="D522" s="34">
        <v>7000</v>
      </c>
      <c r="E522" s="11">
        <f t="shared" si="52"/>
        <v>910</v>
      </c>
      <c r="F522" s="36" t="e">
        <f>+#REF!*$F$12</f>
        <v>#REF!</v>
      </c>
      <c r="G522" s="47">
        <f t="shared" si="53"/>
        <v>7910</v>
      </c>
    </row>
    <row r="523" spans="3:7" x14ac:dyDescent="0.2">
      <c r="C523" s="10" t="s">
        <v>332</v>
      </c>
      <c r="D523" s="34">
        <v>4005</v>
      </c>
      <c r="E523" s="11">
        <f t="shared" si="52"/>
        <v>520.65</v>
      </c>
      <c r="F523" s="35">
        <f t="shared" si="54"/>
        <v>52.064999999999998</v>
      </c>
      <c r="G523" s="47">
        <f t="shared" si="53"/>
        <v>4525.6499999999996</v>
      </c>
    </row>
    <row r="524" spans="3:7" x14ac:dyDescent="0.2">
      <c r="C524" s="10" t="s">
        <v>333</v>
      </c>
      <c r="D524" s="34">
        <v>4005</v>
      </c>
      <c r="E524" s="11">
        <f t="shared" si="52"/>
        <v>520.65</v>
      </c>
      <c r="F524" s="35">
        <f t="shared" si="54"/>
        <v>38.935000000000002</v>
      </c>
      <c r="G524" s="47">
        <f t="shared" si="53"/>
        <v>4525.6499999999996</v>
      </c>
    </row>
    <row r="525" spans="3:7" x14ac:dyDescent="0.2">
      <c r="C525" s="10" t="s">
        <v>334</v>
      </c>
      <c r="D525" s="34">
        <v>2995</v>
      </c>
      <c r="E525" s="11">
        <f t="shared" si="52"/>
        <v>389.35</v>
      </c>
      <c r="F525" s="35">
        <f t="shared" si="54"/>
        <v>91</v>
      </c>
      <c r="G525" s="47">
        <f t="shared" si="53"/>
        <v>3384.35</v>
      </c>
    </row>
    <row r="526" spans="3:7" x14ac:dyDescent="0.2">
      <c r="C526" s="10" t="s">
        <v>719</v>
      </c>
      <c r="D526" s="34">
        <v>7000</v>
      </c>
      <c r="E526" s="11">
        <f t="shared" si="52"/>
        <v>910</v>
      </c>
      <c r="F526" s="37">
        <v>7980</v>
      </c>
      <c r="G526" s="47">
        <f t="shared" si="53"/>
        <v>7910</v>
      </c>
    </row>
    <row r="527" spans="3:7" x14ac:dyDescent="0.2">
      <c r="C527" s="10" t="s">
        <v>335</v>
      </c>
      <c r="D527" s="34">
        <v>7350</v>
      </c>
      <c r="E527" s="11">
        <f t="shared" si="52"/>
        <v>955.5</v>
      </c>
      <c r="F527" s="35">
        <f t="shared" si="54"/>
        <v>91</v>
      </c>
      <c r="G527" s="47">
        <f t="shared" si="53"/>
        <v>8305.5</v>
      </c>
    </row>
    <row r="528" spans="3:7" x14ac:dyDescent="0.2">
      <c r="C528" s="10" t="s">
        <v>336</v>
      </c>
      <c r="D528" s="34">
        <v>7000</v>
      </c>
      <c r="E528" s="11">
        <f t="shared" si="52"/>
        <v>910</v>
      </c>
      <c r="F528" s="35" t="e">
        <f>+#REF!*$F$12</f>
        <v>#REF!</v>
      </c>
      <c r="G528" s="47">
        <f t="shared" si="53"/>
        <v>7910</v>
      </c>
    </row>
    <row r="529" spans="3:7" x14ac:dyDescent="0.2">
      <c r="C529" s="10" t="s">
        <v>549</v>
      </c>
      <c r="D529" s="34">
        <v>7065</v>
      </c>
      <c r="E529" s="11">
        <f t="shared" si="52"/>
        <v>918.45</v>
      </c>
      <c r="F529" s="35"/>
      <c r="G529" s="47">
        <f t="shared" si="53"/>
        <v>7983.45</v>
      </c>
    </row>
    <row r="530" spans="3:7" x14ac:dyDescent="0.2">
      <c r="C530" s="10" t="s">
        <v>340</v>
      </c>
      <c r="D530" s="34">
        <v>7575</v>
      </c>
      <c r="E530" s="11">
        <f t="shared" si="52"/>
        <v>984.75</v>
      </c>
      <c r="F530" s="35">
        <f>+E536*$F$12</f>
        <v>71.63000000000001</v>
      </c>
      <c r="G530" s="47">
        <f t="shared" si="53"/>
        <v>8559.75</v>
      </c>
    </row>
    <row r="531" spans="3:7" x14ac:dyDescent="0.2">
      <c r="C531" s="10" t="s">
        <v>629</v>
      </c>
      <c r="D531" s="34">
        <v>6300</v>
      </c>
      <c r="E531" s="11">
        <f t="shared" si="52"/>
        <v>819</v>
      </c>
      <c r="F531" s="35"/>
      <c r="G531" s="47">
        <f t="shared" si="53"/>
        <v>7119</v>
      </c>
    </row>
    <row r="532" spans="3:7" x14ac:dyDescent="0.2">
      <c r="C532" s="10" t="s">
        <v>630</v>
      </c>
      <c r="D532" s="34">
        <v>7575</v>
      </c>
      <c r="E532" s="11">
        <f t="shared" si="52"/>
        <v>984.75</v>
      </c>
      <c r="F532" s="35"/>
      <c r="G532" s="47">
        <f t="shared" si="53"/>
        <v>8559.75</v>
      </c>
    </row>
    <row r="533" spans="3:7" x14ac:dyDescent="0.2">
      <c r="C533" s="10" t="s">
        <v>337</v>
      </c>
      <c r="D533" s="34">
        <v>5510</v>
      </c>
      <c r="E533" s="11">
        <f t="shared" si="52"/>
        <v>716.30000000000007</v>
      </c>
      <c r="F533" s="35">
        <f>+E534*$F$12</f>
        <v>71.63000000000001</v>
      </c>
      <c r="G533" s="47">
        <f t="shared" si="53"/>
        <v>6226.3</v>
      </c>
    </row>
    <row r="534" spans="3:7" x14ac:dyDescent="0.2">
      <c r="C534" s="10" t="s">
        <v>338</v>
      </c>
      <c r="D534" s="34">
        <v>5510</v>
      </c>
      <c r="E534" s="11">
        <f t="shared" si="52"/>
        <v>716.30000000000007</v>
      </c>
      <c r="F534" s="35">
        <f>+E535*$F$12</f>
        <v>71.63000000000001</v>
      </c>
      <c r="G534" s="47">
        <f t="shared" si="53"/>
        <v>6226.3</v>
      </c>
    </row>
    <row r="535" spans="3:7" x14ac:dyDescent="0.2">
      <c r="C535" s="10" t="s">
        <v>339</v>
      </c>
      <c r="D535" s="34">
        <v>5510</v>
      </c>
      <c r="E535" s="11">
        <f t="shared" si="52"/>
        <v>716.30000000000007</v>
      </c>
      <c r="F535" s="35">
        <f>+E530*$F$12</f>
        <v>98.475000000000009</v>
      </c>
      <c r="G535" s="47">
        <f t="shared" si="53"/>
        <v>6226.3</v>
      </c>
    </row>
    <row r="536" spans="3:7" x14ac:dyDescent="0.2">
      <c r="C536" s="10" t="s">
        <v>341</v>
      </c>
      <c r="D536" s="34">
        <v>5510</v>
      </c>
      <c r="E536" s="11">
        <f t="shared" si="52"/>
        <v>716.30000000000007</v>
      </c>
      <c r="F536" s="35">
        <f t="shared" ref="F536:F539" si="55">+E537*$F$12</f>
        <v>71.63000000000001</v>
      </c>
      <c r="G536" s="47">
        <f t="shared" si="53"/>
        <v>6226.3</v>
      </c>
    </row>
    <row r="537" spans="3:7" x14ac:dyDescent="0.2">
      <c r="C537" s="10" t="s">
        <v>342</v>
      </c>
      <c r="D537" s="34">
        <v>5510</v>
      </c>
      <c r="E537" s="11">
        <f t="shared" si="52"/>
        <v>716.30000000000007</v>
      </c>
      <c r="F537" s="35">
        <f t="shared" si="55"/>
        <v>71.63000000000001</v>
      </c>
      <c r="G537" s="47">
        <f t="shared" si="53"/>
        <v>6226.3</v>
      </c>
    </row>
    <row r="538" spans="3:7" x14ac:dyDescent="0.2">
      <c r="C538" s="10" t="s">
        <v>343</v>
      </c>
      <c r="D538" s="34">
        <v>5510</v>
      </c>
      <c r="E538" s="11">
        <f t="shared" si="52"/>
        <v>716.30000000000007</v>
      </c>
      <c r="F538" s="35">
        <f t="shared" si="55"/>
        <v>71.63000000000001</v>
      </c>
      <c r="G538" s="47">
        <f t="shared" si="53"/>
        <v>6226.3</v>
      </c>
    </row>
    <row r="539" spans="3:7" x14ac:dyDescent="0.2">
      <c r="C539" s="10" t="s">
        <v>344</v>
      </c>
      <c r="D539" s="34">
        <v>5510</v>
      </c>
      <c r="E539" s="11">
        <f t="shared" si="52"/>
        <v>716.30000000000007</v>
      </c>
      <c r="F539" s="35">
        <f t="shared" si="55"/>
        <v>68.900000000000006</v>
      </c>
      <c r="G539" s="47">
        <f t="shared" si="53"/>
        <v>6226.3</v>
      </c>
    </row>
    <row r="540" spans="3:7" x14ac:dyDescent="0.2">
      <c r="C540" s="10" t="s">
        <v>345</v>
      </c>
      <c r="D540" s="34">
        <v>5300</v>
      </c>
      <c r="E540" s="11">
        <f t="shared" si="52"/>
        <v>689</v>
      </c>
      <c r="F540" s="35" t="e">
        <f>+#REF!*$F$12</f>
        <v>#REF!</v>
      </c>
      <c r="G540" s="47">
        <f t="shared" si="53"/>
        <v>5989</v>
      </c>
    </row>
    <row r="541" spans="3:7" x14ac:dyDescent="0.2">
      <c r="C541" s="10" t="s">
        <v>574</v>
      </c>
      <c r="D541" s="34">
        <v>5300</v>
      </c>
      <c r="E541" s="11">
        <f t="shared" ref="E541:E640" si="56">+D541*13%</f>
        <v>689</v>
      </c>
      <c r="F541" s="37">
        <v>6550</v>
      </c>
      <c r="G541" s="47">
        <f t="shared" ref="G541:G640" si="57">+D541+E541</f>
        <v>5989</v>
      </c>
    </row>
    <row r="542" spans="3:7" x14ac:dyDescent="0.2">
      <c r="C542" s="10" t="s">
        <v>347</v>
      </c>
      <c r="D542" s="34">
        <v>3855</v>
      </c>
      <c r="E542" s="11">
        <f t="shared" si="56"/>
        <v>501.15000000000003</v>
      </c>
      <c r="F542" s="35">
        <f t="shared" ref="F542:F558" si="58">+E543*$F$12</f>
        <v>69.55</v>
      </c>
      <c r="G542" s="47">
        <f t="shared" si="57"/>
        <v>4356.1499999999996</v>
      </c>
    </row>
    <row r="543" spans="3:7" x14ac:dyDescent="0.2">
      <c r="C543" s="10" t="s">
        <v>348</v>
      </c>
      <c r="D543" s="34">
        <v>5350</v>
      </c>
      <c r="E543" s="11">
        <f t="shared" si="56"/>
        <v>695.5</v>
      </c>
      <c r="F543" s="35">
        <f t="shared" si="58"/>
        <v>69.484999999999999</v>
      </c>
      <c r="G543" s="47">
        <f t="shared" si="57"/>
        <v>6045.5</v>
      </c>
    </row>
    <row r="544" spans="3:7" x14ac:dyDescent="0.2">
      <c r="C544" s="10" t="s">
        <v>349</v>
      </c>
      <c r="D544" s="34">
        <v>5345</v>
      </c>
      <c r="E544" s="11">
        <f t="shared" si="56"/>
        <v>694.85</v>
      </c>
      <c r="F544" s="35">
        <f>+E546*$F$12</f>
        <v>69.484999999999999</v>
      </c>
      <c r="G544" s="47">
        <f t="shared" si="57"/>
        <v>6039.85</v>
      </c>
    </row>
    <row r="545" spans="2:7" x14ac:dyDescent="0.2">
      <c r="C545" s="10" t="s">
        <v>519</v>
      </c>
      <c r="D545" s="34">
        <v>2300</v>
      </c>
      <c r="E545" s="11">
        <f t="shared" si="56"/>
        <v>299</v>
      </c>
      <c r="F545" s="35"/>
      <c r="G545" s="47">
        <f t="shared" si="57"/>
        <v>2599</v>
      </c>
    </row>
    <row r="546" spans="2:7" x14ac:dyDescent="0.2">
      <c r="C546" s="10" t="s">
        <v>350</v>
      </c>
      <c r="D546" s="34">
        <v>5345</v>
      </c>
      <c r="E546" s="11">
        <f t="shared" si="56"/>
        <v>694.85</v>
      </c>
      <c r="F546" s="37">
        <v>5850</v>
      </c>
      <c r="G546" s="47">
        <f t="shared" si="57"/>
        <v>6039.85</v>
      </c>
    </row>
    <row r="547" spans="2:7" s="5" customFormat="1" x14ac:dyDescent="0.2">
      <c r="B547" s="1"/>
      <c r="C547" s="10" t="s">
        <v>351</v>
      </c>
      <c r="D547" s="34">
        <v>5345</v>
      </c>
      <c r="E547" s="11">
        <f t="shared" si="56"/>
        <v>694.85</v>
      </c>
      <c r="F547" s="35" t="e">
        <f>+#REF!*$F$12</f>
        <v>#REF!</v>
      </c>
      <c r="G547" s="47">
        <f t="shared" si="57"/>
        <v>6039.85</v>
      </c>
    </row>
    <row r="548" spans="2:7" x14ac:dyDescent="0.2">
      <c r="B548" s="5"/>
      <c r="C548" s="10" t="s">
        <v>702</v>
      </c>
      <c r="D548" s="34">
        <v>11725</v>
      </c>
      <c r="E548" s="11">
        <f t="shared" si="56"/>
        <v>1524.25</v>
      </c>
      <c r="F548" s="36"/>
      <c r="G548" s="47">
        <f t="shared" si="57"/>
        <v>13249.25</v>
      </c>
    </row>
    <row r="549" spans="2:7" x14ac:dyDescent="0.2">
      <c r="B549" s="5"/>
      <c r="C549" s="10" t="s">
        <v>703</v>
      </c>
      <c r="D549" s="34">
        <v>7515</v>
      </c>
      <c r="E549" s="11">
        <f t="shared" si="56"/>
        <v>976.95</v>
      </c>
      <c r="F549" s="36"/>
      <c r="G549" s="47">
        <f t="shared" si="57"/>
        <v>8491.9500000000007</v>
      </c>
    </row>
    <row r="550" spans="2:7" x14ac:dyDescent="0.2">
      <c r="C550" s="10" t="s">
        <v>352</v>
      </c>
      <c r="D550" s="34">
        <v>6595</v>
      </c>
      <c r="E550" s="11">
        <f t="shared" si="56"/>
        <v>857.35</v>
      </c>
      <c r="F550" s="35">
        <f t="shared" si="58"/>
        <v>95.550000000000011</v>
      </c>
      <c r="G550" s="47">
        <f t="shared" si="57"/>
        <v>7452.35</v>
      </c>
    </row>
    <row r="551" spans="2:7" x14ac:dyDescent="0.2">
      <c r="C551" s="10" t="s">
        <v>353</v>
      </c>
      <c r="D551" s="34">
        <v>7350</v>
      </c>
      <c r="E551" s="11">
        <f t="shared" si="56"/>
        <v>955.5</v>
      </c>
      <c r="F551" s="35" t="e">
        <f>+#REF!*$F$12</f>
        <v>#REF!</v>
      </c>
      <c r="G551" s="47">
        <f t="shared" si="57"/>
        <v>8305.5</v>
      </c>
    </row>
    <row r="552" spans="2:7" x14ac:dyDescent="0.2">
      <c r="C552" s="10" t="s">
        <v>354</v>
      </c>
      <c r="D552" s="34">
        <v>6100</v>
      </c>
      <c r="E552" s="11">
        <f t="shared" si="56"/>
        <v>793</v>
      </c>
      <c r="F552" s="35">
        <f t="shared" si="58"/>
        <v>95.550000000000011</v>
      </c>
      <c r="G552" s="47">
        <f t="shared" si="57"/>
        <v>6893</v>
      </c>
    </row>
    <row r="553" spans="2:7" x14ac:dyDescent="0.2">
      <c r="C553" s="10" t="s">
        <v>627</v>
      </c>
      <c r="D553" s="34">
        <v>7350</v>
      </c>
      <c r="E553" s="11">
        <f t="shared" si="56"/>
        <v>955.5</v>
      </c>
      <c r="F553" s="35">
        <f t="shared" si="58"/>
        <v>90.220000000000013</v>
      </c>
      <c r="G553" s="47">
        <f t="shared" si="57"/>
        <v>8305.5</v>
      </c>
    </row>
    <row r="554" spans="2:7" x14ac:dyDescent="0.2">
      <c r="C554" s="10" t="s">
        <v>628</v>
      </c>
      <c r="D554" s="34">
        <v>6940</v>
      </c>
      <c r="E554" s="11">
        <f t="shared" si="56"/>
        <v>902.2</v>
      </c>
      <c r="F554" s="35">
        <f t="shared" si="58"/>
        <v>101.4</v>
      </c>
      <c r="G554" s="47">
        <f t="shared" si="57"/>
        <v>7842.2</v>
      </c>
    </row>
    <row r="555" spans="2:7" x14ac:dyDescent="0.2">
      <c r="C555" s="10" t="s">
        <v>356</v>
      </c>
      <c r="D555" s="34">
        <v>7800</v>
      </c>
      <c r="E555" s="11">
        <f t="shared" si="56"/>
        <v>1014</v>
      </c>
      <c r="F555" s="36">
        <f t="shared" si="58"/>
        <v>86.320000000000007</v>
      </c>
      <c r="G555" s="47">
        <f t="shared" si="57"/>
        <v>8814</v>
      </c>
    </row>
    <row r="556" spans="2:7" x14ac:dyDescent="0.2">
      <c r="C556" s="10" t="s">
        <v>355</v>
      </c>
      <c r="D556" s="34">
        <v>6640</v>
      </c>
      <c r="E556" s="11">
        <f t="shared" si="56"/>
        <v>863.2</v>
      </c>
      <c r="F556" s="36">
        <f t="shared" si="58"/>
        <v>99.515000000000001</v>
      </c>
      <c r="G556" s="47">
        <f t="shared" si="57"/>
        <v>7503.2</v>
      </c>
    </row>
    <row r="557" spans="2:7" x14ac:dyDescent="0.2">
      <c r="C557" s="10" t="s">
        <v>357</v>
      </c>
      <c r="D557" s="34">
        <v>7655</v>
      </c>
      <c r="E557" s="11">
        <f t="shared" si="56"/>
        <v>995.15</v>
      </c>
      <c r="F557" s="36">
        <f t="shared" si="58"/>
        <v>99.580000000000013</v>
      </c>
      <c r="G557" s="47">
        <f t="shared" si="57"/>
        <v>8650.15</v>
      </c>
    </row>
    <row r="558" spans="2:7" x14ac:dyDescent="0.2">
      <c r="C558" s="10" t="s">
        <v>358</v>
      </c>
      <c r="D558" s="34">
        <v>7660</v>
      </c>
      <c r="E558" s="11">
        <f t="shared" si="56"/>
        <v>995.80000000000007</v>
      </c>
      <c r="F558" s="36">
        <f t="shared" si="58"/>
        <v>99.515000000000001</v>
      </c>
      <c r="G558" s="47">
        <f t="shared" si="57"/>
        <v>8655.7999999999993</v>
      </c>
    </row>
    <row r="559" spans="2:7" x14ac:dyDescent="0.2">
      <c r="C559" s="10" t="s">
        <v>359</v>
      </c>
      <c r="D559" s="34">
        <v>7655</v>
      </c>
      <c r="E559" s="11">
        <f t="shared" si="56"/>
        <v>995.15</v>
      </c>
      <c r="F559" s="36" t="e">
        <f>+#REF!*$F$12</f>
        <v>#REF!</v>
      </c>
      <c r="G559" s="47">
        <f t="shared" si="57"/>
        <v>8650.15</v>
      </c>
    </row>
    <row r="560" spans="2:7" x14ac:dyDescent="0.2">
      <c r="C560" s="10" t="s">
        <v>754</v>
      </c>
      <c r="D560" s="34">
        <v>6900</v>
      </c>
      <c r="E560" s="11">
        <f t="shared" si="56"/>
        <v>897</v>
      </c>
      <c r="F560" s="36"/>
      <c r="G560" s="47">
        <f t="shared" si="57"/>
        <v>7797</v>
      </c>
    </row>
    <row r="561" spans="3:7" x14ac:dyDescent="0.2">
      <c r="C561" s="10" t="s">
        <v>755</v>
      </c>
      <c r="D561" s="34">
        <v>6900</v>
      </c>
      <c r="E561" s="11">
        <f t="shared" si="56"/>
        <v>897</v>
      </c>
      <c r="F561" s="36"/>
      <c r="G561" s="47">
        <f t="shared" si="57"/>
        <v>7797</v>
      </c>
    </row>
    <row r="562" spans="3:7" x14ac:dyDescent="0.2">
      <c r="C562" s="10" t="s">
        <v>756</v>
      </c>
      <c r="D562" s="34">
        <v>6900</v>
      </c>
      <c r="E562" s="11">
        <f t="shared" si="56"/>
        <v>897</v>
      </c>
      <c r="F562" s="36"/>
      <c r="G562" s="47">
        <f t="shared" si="57"/>
        <v>7797</v>
      </c>
    </row>
    <row r="563" spans="3:7" x14ac:dyDescent="0.2">
      <c r="C563" s="10" t="s">
        <v>757</v>
      </c>
      <c r="D563" s="34">
        <v>6900</v>
      </c>
      <c r="E563" s="11">
        <f t="shared" si="56"/>
        <v>897</v>
      </c>
      <c r="F563" s="36"/>
      <c r="G563" s="47">
        <f t="shared" si="57"/>
        <v>7797</v>
      </c>
    </row>
    <row r="564" spans="3:7" x14ac:dyDescent="0.2">
      <c r="C564" s="10" t="s">
        <v>758</v>
      </c>
      <c r="D564" s="34">
        <v>11450</v>
      </c>
      <c r="E564" s="11">
        <f t="shared" si="56"/>
        <v>1488.5</v>
      </c>
      <c r="F564" s="36"/>
      <c r="G564" s="47">
        <f t="shared" si="57"/>
        <v>12938.5</v>
      </c>
    </row>
    <row r="565" spans="3:7" x14ac:dyDescent="0.2">
      <c r="C565" s="10" t="s">
        <v>759</v>
      </c>
      <c r="D565" s="34">
        <v>12405</v>
      </c>
      <c r="E565" s="11">
        <f t="shared" si="56"/>
        <v>1612.65</v>
      </c>
      <c r="F565" s="36"/>
      <c r="G565" s="47">
        <f t="shared" si="57"/>
        <v>14017.65</v>
      </c>
    </row>
    <row r="566" spans="3:7" x14ac:dyDescent="0.2">
      <c r="C566" s="10" t="s">
        <v>760</v>
      </c>
      <c r="D566" s="34">
        <v>5100</v>
      </c>
      <c r="E566" s="11">
        <f t="shared" si="56"/>
        <v>663</v>
      </c>
      <c r="F566" s="36"/>
      <c r="G566" s="47">
        <f t="shared" si="57"/>
        <v>5763</v>
      </c>
    </row>
    <row r="567" spans="3:7" x14ac:dyDescent="0.2">
      <c r="C567" s="10" t="s">
        <v>761</v>
      </c>
      <c r="D567" s="34">
        <v>5100</v>
      </c>
      <c r="E567" s="11">
        <f t="shared" si="56"/>
        <v>663</v>
      </c>
      <c r="F567" s="36"/>
      <c r="G567" s="47">
        <f t="shared" si="57"/>
        <v>5763</v>
      </c>
    </row>
    <row r="568" spans="3:7" x14ac:dyDescent="0.2">
      <c r="C568" s="10" t="s">
        <v>762</v>
      </c>
      <c r="D568" s="34">
        <v>4450</v>
      </c>
      <c r="E568" s="11">
        <f t="shared" si="56"/>
        <v>578.5</v>
      </c>
      <c r="F568" s="36"/>
      <c r="G568" s="47">
        <f t="shared" si="57"/>
        <v>5028.5</v>
      </c>
    </row>
    <row r="569" spans="3:7" x14ac:dyDescent="0.2">
      <c r="C569" s="10" t="s">
        <v>763</v>
      </c>
      <c r="D569" s="34">
        <v>4450</v>
      </c>
      <c r="E569" s="11">
        <f t="shared" si="56"/>
        <v>578.5</v>
      </c>
      <c r="F569" s="36"/>
      <c r="G569" s="47">
        <f t="shared" si="57"/>
        <v>5028.5</v>
      </c>
    </row>
    <row r="570" spans="3:7" x14ac:dyDescent="0.2">
      <c r="C570" s="10" t="s">
        <v>764</v>
      </c>
      <c r="D570" s="34">
        <v>4450</v>
      </c>
      <c r="E570" s="11">
        <f t="shared" si="56"/>
        <v>578.5</v>
      </c>
      <c r="F570" s="36"/>
      <c r="G570" s="47">
        <f t="shared" si="57"/>
        <v>5028.5</v>
      </c>
    </row>
    <row r="571" spans="3:7" x14ac:dyDescent="0.2">
      <c r="C571" s="10" t="s">
        <v>765</v>
      </c>
      <c r="D571" s="34">
        <v>18755</v>
      </c>
      <c r="E571" s="11">
        <f t="shared" si="56"/>
        <v>2438.15</v>
      </c>
      <c r="F571" s="36"/>
      <c r="G571" s="47">
        <f t="shared" si="57"/>
        <v>21193.15</v>
      </c>
    </row>
    <row r="572" spans="3:7" x14ac:dyDescent="0.2">
      <c r="C572" s="10" t="s">
        <v>766</v>
      </c>
      <c r="D572" s="34">
        <v>18755</v>
      </c>
      <c r="E572" s="11">
        <f t="shared" si="56"/>
        <v>2438.15</v>
      </c>
      <c r="F572" s="36"/>
      <c r="G572" s="47">
        <f t="shared" si="57"/>
        <v>21193.15</v>
      </c>
    </row>
    <row r="573" spans="3:7" x14ac:dyDescent="0.2">
      <c r="C573" s="10" t="s">
        <v>767</v>
      </c>
      <c r="D573" s="34">
        <v>18755</v>
      </c>
      <c r="E573" s="11">
        <f t="shared" si="56"/>
        <v>2438.15</v>
      </c>
      <c r="F573" s="36"/>
      <c r="G573" s="47">
        <f t="shared" si="57"/>
        <v>21193.15</v>
      </c>
    </row>
    <row r="574" spans="3:7" x14ac:dyDescent="0.2">
      <c r="C574" s="10" t="s">
        <v>768</v>
      </c>
      <c r="D574" s="34">
        <v>11565</v>
      </c>
      <c r="E574" s="11">
        <f t="shared" si="56"/>
        <v>1503.45</v>
      </c>
      <c r="F574" s="36"/>
      <c r="G574" s="47">
        <f t="shared" si="57"/>
        <v>13068.45</v>
      </c>
    </row>
    <row r="575" spans="3:7" x14ac:dyDescent="0.2">
      <c r="C575" s="10" t="s">
        <v>769</v>
      </c>
      <c r="D575" s="34">
        <v>11565</v>
      </c>
      <c r="E575" s="11">
        <f t="shared" si="56"/>
        <v>1503.45</v>
      </c>
      <c r="F575" s="36"/>
      <c r="G575" s="47">
        <f t="shared" si="57"/>
        <v>13068.45</v>
      </c>
    </row>
    <row r="576" spans="3:7" x14ac:dyDescent="0.2">
      <c r="C576" s="10" t="s">
        <v>770</v>
      </c>
      <c r="D576" s="34">
        <v>10005</v>
      </c>
      <c r="E576" s="11">
        <f t="shared" si="56"/>
        <v>1300.6500000000001</v>
      </c>
      <c r="F576" s="36"/>
      <c r="G576" s="47">
        <f t="shared" si="57"/>
        <v>11305.65</v>
      </c>
    </row>
    <row r="577" spans="3:7" x14ac:dyDescent="0.2">
      <c r="C577" s="10" t="s">
        <v>771</v>
      </c>
      <c r="D577" s="34">
        <v>10005</v>
      </c>
      <c r="E577" s="11">
        <f t="shared" si="56"/>
        <v>1300.6500000000001</v>
      </c>
      <c r="F577" s="35"/>
      <c r="G577" s="47">
        <f t="shared" si="57"/>
        <v>11305.65</v>
      </c>
    </row>
    <row r="578" spans="3:7" x14ac:dyDescent="0.2">
      <c r="C578" s="10" t="s">
        <v>772</v>
      </c>
      <c r="D578" s="34">
        <v>10005</v>
      </c>
      <c r="E578" s="11">
        <f t="shared" si="56"/>
        <v>1300.6500000000001</v>
      </c>
      <c r="F578" s="35"/>
      <c r="G578" s="47">
        <f t="shared" si="57"/>
        <v>11305.65</v>
      </c>
    </row>
    <row r="579" spans="3:7" x14ac:dyDescent="0.2">
      <c r="C579" s="10" t="s">
        <v>773</v>
      </c>
      <c r="D579" s="34">
        <v>7800</v>
      </c>
      <c r="E579" s="11">
        <f t="shared" si="56"/>
        <v>1014</v>
      </c>
      <c r="F579" s="36"/>
      <c r="G579" s="47">
        <f t="shared" si="57"/>
        <v>8814</v>
      </c>
    </row>
    <row r="580" spans="3:7" x14ac:dyDescent="0.2">
      <c r="C580" s="10" t="s">
        <v>774</v>
      </c>
      <c r="D580" s="34">
        <v>3680</v>
      </c>
      <c r="E580" s="11">
        <f t="shared" si="56"/>
        <v>478.40000000000003</v>
      </c>
      <c r="F580" s="36"/>
      <c r="G580" s="47">
        <f t="shared" si="57"/>
        <v>4158.3999999999996</v>
      </c>
    </row>
    <row r="581" spans="3:7" x14ac:dyDescent="0.2">
      <c r="C581" s="10" t="s">
        <v>775</v>
      </c>
      <c r="D581" s="34">
        <v>3680</v>
      </c>
      <c r="E581" s="11">
        <f t="shared" si="56"/>
        <v>478.40000000000003</v>
      </c>
      <c r="F581" s="36"/>
      <c r="G581" s="47">
        <f t="shared" si="57"/>
        <v>4158.3999999999996</v>
      </c>
    </row>
    <row r="582" spans="3:7" x14ac:dyDescent="0.2">
      <c r="C582" s="10" t="s">
        <v>776</v>
      </c>
      <c r="D582" s="34">
        <v>3680</v>
      </c>
      <c r="E582" s="11">
        <f t="shared" si="56"/>
        <v>478.40000000000003</v>
      </c>
      <c r="F582" s="36"/>
      <c r="G582" s="47">
        <f t="shared" si="57"/>
        <v>4158.3999999999996</v>
      </c>
    </row>
    <row r="583" spans="3:7" x14ac:dyDescent="0.2">
      <c r="C583" s="10" t="s">
        <v>777</v>
      </c>
      <c r="D583" s="34">
        <v>3680</v>
      </c>
      <c r="E583" s="11">
        <f t="shared" si="56"/>
        <v>478.40000000000003</v>
      </c>
      <c r="F583" s="36"/>
      <c r="G583" s="47">
        <f t="shared" si="57"/>
        <v>4158.3999999999996</v>
      </c>
    </row>
    <row r="584" spans="3:7" x14ac:dyDescent="0.2">
      <c r="C584" s="10" t="s">
        <v>778</v>
      </c>
      <c r="D584" s="34">
        <v>3680</v>
      </c>
      <c r="E584" s="11">
        <f t="shared" si="56"/>
        <v>478.40000000000003</v>
      </c>
      <c r="F584" s="36"/>
      <c r="G584" s="47">
        <f t="shared" si="57"/>
        <v>4158.3999999999996</v>
      </c>
    </row>
    <row r="585" spans="3:7" x14ac:dyDescent="0.2">
      <c r="C585" s="10" t="s">
        <v>782</v>
      </c>
      <c r="D585" s="34">
        <v>8008</v>
      </c>
      <c r="E585" s="11">
        <f t="shared" si="56"/>
        <v>1041.04</v>
      </c>
      <c r="F585" s="36"/>
      <c r="G585" s="47">
        <f t="shared" si="57"/>
        <v>9049.0400000000009</v>
      </c>
    </row>
    <row r="586" spans="3:7" x14ac:dyDescent="0.2">
      <c r="C586" s="10" t="s">
        <v>783</v>
      </c>
      <c r="D586" s="34">
        <v>9195</v>
      </c>
      <c r="E586" s="11">
        <f t="shared" si="56"/>
        <v>1195.3500000000001</v>
      </c>
      <c r="F586" s="36"/>
      <c r="G586" s="47">
        <f t="shared" si="57"/>
        <v>10390.35</v>
      </c>
    </row>
    <row r="587" spans="3:7" x14ac:dyDescent="0.2">
      <c r="C587" s="10" t="s">
        <v>784</v>
      </c>
      <c r="D587" s="34">
        <v>3300</v>
      </c>
      <c r="E587" s="11">
        <f t="shared" si="56"/>
        <v>429</v>
      </c>
      <c r="F587" s="36"/>
      <c r="G587" s="47">
        <f t="shared" si="57"/>
        <v>3729</v>
      </c>
    </row>
    <row r="588" spans="3:7" x14ac:dyDescent="0.2">
      <c r="C588" s="10" t="s">
        <v>785</v>
      </c>
      <c r="D588" s="34">
        <v>3300</v>
      </c>
      <c r="E588" s="11">
        <f t="shared" si="56"/>
        <v>429</v>
      </c>
      <c r="F588" s="36"/>
      <c r="G588" s="47">
        <f t="shared" si="57"/>
        <v>3729</v>
      </c>
    </row>
    <row r="589" spans="3:7" x14ac:dyDescent="0.2">
      <c r="C589" s="10" t="s">
        <v>786</v>
      </c>
      <c r="D589" s="34">
        <v>3300</v>
      </c>
      <c r="E589" s="11">
        <f t="shared" si="56"/>
        <v>429</v>
      </c>
      <c r="F589" s="36"/>
      <c r="G589" s="47">
        <f t="shared" si="57"/>
        <v>3729</v>
      </c>
    </row>
    <row r="590" spans="3:7" x14ac:dyDescent="0.2">
      <c r="C590" s="10" t="s">
        <v>787</v>
      </c>
      <c r="D590" s="34">
        <v>3300</v>
      </c>
      <c r="E590" s="11">
        <f t="shared" si="56"/>
        <v>429</v>
      </c>
      <c r="F590" s="36"/>
      <c r="G590" s="47">
        <f t="shared" si="57"/>
        <v>3729</v>
      </c>
    </row>
    <row r="591" spans="3:7" x14ac:dyDescent="0.2">
      <c r="C591" s="10" t="s">
        <v>788</v>
      </c>
      <c r="D591" s="34">
        <v>3300</v>
      </c>
      <c r="E591" s="11">
        <f t="shared" si="56"/>
        <v>429</v>
      </c>
      <c r="F591" s="36"/>
      <c r="G591" s="47">
        <f t="shared" si="57"/>
        <v>3729</v>
      </c>
    </row>
    <row r="592" spans="3:7" x14ac:dyDescent="0.2">
      <c r="C592" s="10" t="s">
        <v>814</v>
      </c>
      <c r="D592" s="34">
        <v>2340</v>
      </c>
      <c r="E592" s="11">
        <f t="shared" si="56"/>
        <v>304.2</v>
      </c>
      <c r="F592" s="36"/>
      <c r="G592" s="47">
        <f t="shared" si="57"/>
        <v>2644.2</v>
      </c>
    </row>
    <row r="593" spans="3:7" x14ac:dyDescent="0.2">
      <c r="C593" s="10" t="s">
        <v>815</v>
      </c>
      <c r="D593" s="34">
        <v>2340</v>
      </c>
      <c r="E593" s="11">
        <f t="shared" si="56"/>
        <v>304.2</v>
      </c>
      <c r="F593" s="36"/>
      <c r="G593" s="47">
        <f t="shared" si="57"/>
        <v>2644.2</v>
      </c>
    </row>
    <row r="594" spans="3:7" x14ac:dyDescent="0.2">
      <c r="C594" s="10" t="s">
        <v>816</v>
      </c>
      <c r="D594" s="34">
        <v>2340</v>
      </c>
      <c r="E594" s="11">
        <f t="shared" si="56"/>
        <v>304.2</v>
      </c>
      <c r="F594" s="36"/>
      <c r="G594" s="47">
        <f t="shared" si="57"/>
        <v>2644.2</v>
      </c>
    </row>
    <row r="595" spans="3:7" x14ac:dyDescent="0.2">
      <c r="C595" s="10" t="s">
        <v>789</v>
      </c>
      <c r="D595" s="34">
        <v>10780</v>
      </c>
      <c r="E595" s="11">
        <f t="shared" si="56"/>
        <v>1401.4</v>
      </c>
      <c r="F595" s="36"/>
      <c r="G595" s="47">
        <f t="shared" si="57"/>
        <v>12181.4</v>
      </c>
    </row>
    <row r="596" spans="3:7" x14ac:dyDescent="0.2">
      <c r="C596" s="10" t="s">
        <v>790</v>
      </c>
      <c r="D596" s="34">
        <v>10780</v>
      </c>
      <c r="E596" s="11">
        <f t="shared" si="56"/>
        <v>1401.4</v>
      </c>
      <c r="F596" s="36"/>
      <c r="G596" s="47">
        <f t="shared" si="57"/>
        <v>12181.4</v>
      </c>
    </row>
    <row r="597" spans="3:7" x14ac:dyDescent="0.2">
      <c r="C597" s="10" t="s">
        <v>791</v>
      </c>
      <c r="D597" s="34">
        <v>10780</v>
      </c>
      <c r="E597" s="11">
        <f t="shared" si="56"/>
        <v>1401.4</v>
      </c>
      <c r="F597" s="36"/>
      <c r="G597" s="47">
        <f t="shared" si="57"/>
        <v>12181.4</v>
      </c>
    </row>
    <row r="598" spans="3:7" x14ac:dyDescent="0.2">
      <c r="C598" s="10" t="s">
        <v>792</v>
      </c>
      <c r="D598" s="34">
        <v>10780</v>
      </c>
      <c r="E598" s="11">
        <f t="shared" si="56"/>
        <v>1401.4</v>
      </c>
      <c r="F598" s="36"/>
      <c r="G598" s="47">
        <f t="shared" si="57"/>
        <v>12181.4</v>
      </c>
    </row>
    <row r="599" spans="3:7" x14ac:dyDescent="0.2">
      <c r="C599" s="10" t="s">
        <v>793</v>
      </c>
      <c r="D599" s="34">
        <v>16250</v>
      </c>
      <c r="E599" s="11">
        <f t="shared" si="56"/>
        <v>2112.5</v>
      </c>
      <c r="F599" s="36"/>
      <c r="G599" s="47">
        <f t="shared" si="57"/>
        <v>18362.5</v>
      </c>
    </row>
    <row r="600" spans="3:7" x14ac:dyDescent="0.2">
      <c r="C600" s="10" t="s">
        <v>794</v>
      </c>
      <c r="D600" s="34">
        <v>8800</v>
      </c>
      <c r="E600" s="11">
        <f t="shared" si="56"/>
        <v>1144</v>
      </c>
      <c r="F600" s="36"/>
      <c r="G600" s="47">
        <f t="shared" si="57"/>
        <v>9944</v>
      </c>
    </row>
    <row r="601" spans="3:7" x14ac:dyDescent="0.2">
      <c r="C601" s="10" t="s">
        <v>795</v>
      </c>
      <c r="D601" s="34">
        <v>8800</v>
      </c>
      <c r="E601" s="11">
        <f t="shared" si="56"/>
        <v>1144</v>
      </c>
      <c r="F601" s="36"/>
      <c r="G601" s="47">
        <f t="shared" si="57"/>
        <v>9944</v>
      </c>
    </row>
    <row r="602" spans="3:7" x14ac:dyDescent="0.2">
      <c r="C602" s="10" t="s">
        <v>796</v>
      </c>
      <c r="D602" s="34">
        <v>6000</v>
      </c>
      <c r="E602" s="11">
        <f t="shared" si="56"/>
        <v>780</v>
      </c>
      <c r="F602" s="36"/>
      <c r="G602" s="47">
        <f t="shared" si="57"/>
        <v>6780</v>
      </c>
    </row>
    <row r="603" spans="3:7" x14ac:dyDescent="0.2">
      <c r="C603" s="10" t="s">
        <v>797</v>
      </c>
      <c r="D603" s="34">
        <v>6300</v>
      </c>
      <c r="E603" s="11">
        <f t="shared" si="56"/>
        <v>819</v>
      </c>
      <c r="F603" s="36"/>
      <c r="G603" s="47">
        <f t="shared" si="57"/>
        <v>7119</v>
      </c>
    </row>
    <row r="604" spans="3:7" x14ac:dyDescent="0.2">
      <c r="C604" s="10" t="s">
        <v>800</v>
      </c>
      <c r="D604" s="34">
        <v>6535</v>
      </c>
      <c r="E604" s="11">
        <f t="shared" si="56"/>
        <v>849.55000000000007</v>
      </c>
      <c r="F604" s="36"/>
      <c r="G604" s="47">
        <f t="shared" si="57"/>
        <v>7384.55</v>
      </c>
    </row>
    <row r="605" spans="3:7" x14ac:dyDescent="0.2">
      <c r="C605" s="10" t="s">
        <v>801</v>
      </c>
      <c r="D605" s="34">
        <v>6535</v>
      </c>
      <c r="E605" s="11">
        <f t="shared" si="56"/>
        <v>849.55000000000007</v>
      </c>
      <c r="F605" s="36"/>
      <c r="G605" s="47">
        <f t="shared" si="57"/>
        <v>7384.55</v>
      </c>
    </row>
    <row r="606" spans="3:7" x14ac:dyDescent="0.2">
      <c r="C606" s="10" t="s">
        <v>802</v>
      </c>
      <c r="D606" s="34">
        <v>6535</v>
      </c>
      <c r="E606" s="11">
        <f t="shared" si="56"/>
        <v>849.55000000000007</v>
      </c>
      <c r="F606" s="36"/>
      <c r="G606" s="47">
        <f t="shared" si="57"/>
        <v>7384.55</v>
      </c>
    </row>
    <row r="607" spans="3:7" x14ac:dyDescent="0.2">
      <c r="C607" s="10" t="s">
        <v>803</v>
      </c>
      <c r="D607" s="34">
        <v>11185</v>
      </c>
      <c r="E607" s="11">
        <f t="shared" si="56"/>
        <v>1454.05</v>
      </c>
      <c r="F607" s="36"/>
      <c r="G607" s="47">
        <f t="shared" si="57"/>
        <v>12639.05</v>
      </c>
    </row>
    <row r="608" spans="3:7" x14ac:dyDescent="0.2">
      <c r="C608" s="10" t="s">
        <v>804</v>
      </c>
      <c r="D608" s="34">
        <v>13300</v>
      </c>
      <c r="E608" s="11">
        <f t="shared" si="56"/>
        <v>1729</v>
      </c>
      <c r="F608" s="36"/>
      <c r="G608" s="47">
        <f t="shared" si="57"/>
        <v>15029</v>
      </c>
    </row>
    <row r="609" spans="3:7" x14ac:dyDescent="0.2">
      <c r="C609" s="10" t="s">
        <v>805</v>
      </c>
      <c r="D609" s="34">
        <v>14600</v>
      </c>
      <c r="E609" s="11">
        <f t="shared" si="56"/>
        <v>1898</v>
      </c>
      <c r="F609" s="36"/>
      <c r="G609" s="47">
        <f t="shared" si="57"/>
        <v>16498</v>
      </c>
    </row>
    <row r="610" spans="3:7" x14ac:dyDescent="0.2">
      <c r="C610" s="10" t="s">
        <v>806</v>
      </c>
      <c r="D610" s="34">
        <v>8650</v>
      </c>
      <c r="E610" s="11">
        <f t="shared" si="56"/>
        <v>1124.5</v>
      </c>
      <c r="F610" s="36"/>
      <c r="G610" s="47">
        <f t="shared" si="57"/>
        <v>9774.5</v>
      </c>
    </row>
    <row r="611" spans="3:7" x14ac:dyDescent="0.2">
      <c r="C611" s="10" t="s">
        <v>807</v>
      </c>
      <c r="D611" s="34">
        <v>8625</v>
      </c>
      <c r="E611" s="11">
        <f t="shared" si="56"/>
        <v>1121.25</v>
      </c>
      <c r="F611" s="36"/>
      <c r="G611" s="47">
        <f t="shared" si="57"/>
        <v>9746.25</v>
      </c>
    </row>
    <row r="612" spans="3:7" x14ac:dyDescent="0.2">
      <c r="C612" s="10" t="s">
        <v>808</v>
      </c>
      <c r="D612" s="34">
        <v>6640</v>
      </c>
      <c r="E612" s="11">
        <f t="shared" si="56"/>
        <v>863.2</v>
      </c>
      <c r="F612" s="36"/>
      <c r="G612" s="47">
        <f t="shared" si="57"/>
        <v>7503.2</v>
      </c>
    </row>
    <row r="613" spans="3:7" x14ac:dyDescent="0.2">
      <c r="C613" s="10" t="s">
        <v>809</v>
      </c>
      <c r="D613" s="34">
        <v>8650</v>
      </c>
      <c r="E613" s="11">
        <f t="shared" si="56"/>
        <v>1124.5</v>
      </c>
      <c r="F613" s="36"/>
      <c r="G613" s="47">
        <f t="shared" si="57"/>
        <v>9774.5</v>
      </c>
    </row>
    <row r="614" spans="3:7" x14ac:dyDescent="0.2">
      <c r="C614" s="10" t="s">
        <v>812</v>
      </c>
      <c r="D614" s="34">
        <v>8420</v>
      </c>
      <c r="E614" s="11">
        <f t="shared" si="56"/>
        <v>1094.6000000000001</v>
      </c>
      <c r="F614" s="35"/>
      <c r="G614" s="47">
        <f t="shared" si="57"/>
        <v>9514.6</v>
      </c>
    </row>
    <row r="615" spans="3:7" x14ac:dyDescent="0.2">
      <c r="C615" s="10" t="s">
        <v>813</v>
      </c>
      <c r="D615" s="34">
        <v>8420</v>
      </c>
      <c r="E615" s="11">
        <f t="shared" si="56"/>
        <v>1094.6000000000001</v>
      </c>
      <c r="F615" s="36"/>
      <c r="G615" s="47">
        <f t="shared" si="57"/>
        <v>9514.6</v>
      </c>
    </row>
    <row r="616" spans="3:7" x14ac:dyDescent="0.2">
      <c r="C616" s="10" t="s">
        <v>817</v>
      </c>
      <c r="D616" s="34">
        <v>13050</v>
      </c>
      <c r="E616" s="11">
        <f t="shared" si="56"/>
        <v>1696.5</v>
      </c>
      <c r="F616" s="36"/>
      <c r="G616" s="47">
        <f t="shared" si="57"/>
        <v>14746.5</v>
      </c>
    </row>
    <row r="617" spans="3:7" x14ac:dyDescent="0.2">
      <c r="C617" s="21" t="s">
        <v>20</v>
      </c>
      <c r="D617" s="14"/>
      <c r="E617" s="11"/>
      <c r="F617" s="38">
        <f t="shared" ref="F617:F621" si="59">+E618*$F$12</f>
        <v>0</v>
      </c>
      <c r="G617" s="13"/>
    </row>
    <row r="618" spans="3:7" x14ac:dyDescent="0.2">
      <c r="C618" s="10" t="s">
        <v>2</v>
      </c>
      <c r="D618" s="45" t="s">
        <v>3</v>
      </c>
      <c r="E618" s="11"/>
      <c r="F618" s="36">
        <f t="shared" si="59"/>
        <v>27.365000000000006</v>
      </c>
      <c r="G618" s="13"/>
    </row>
    <row r="619" spans="3:7" x14ac:dyDescent="0.2">
      <c r="C619" s="10" t="s">
        <v>643</v>
      </c>
      <c r="D619" s="34">
        <v>2105</v>
      </c>
      <c r="E619" s="11">
        <f t="shared" si="56"/>
        <v>273.65000000000003</v>
      </c>
      <c r="F619" s="35" t="e">
        <f>+#REF!*$F$12</f>
        <v>#REF!</v>
      </c>
      <c r="G619" s="47">
        <f t="shared" si="57"/>
        <v>2378.65</v>
      </c>
    </row>
    <row r="620" spans="3:7" x14ac:dyDescent="0.2">
      <c r="C620" s="10" t="s">
        <v>645</v>
      </c>
      <c r="D620" s="34">
        <v>2055</v>
      </c>
      <c r="E620" s="11">
        <f t="shared" si="56"/>
        <v>267.15000000000003</v>
      </c>
      <c r="F620" s="35">
        <f t="shared" si="59"/>
        <v>27.365000000000006</v>
      </c>
      <c r="G620" s="47">
        <f t="shared" si="57"/>
        <v>2322.15</v>
      </c>
    </row>
    <row r="621" spans="3:7" x14ac:dyDescent="0.2">
      <c r="C621" s="10" t="s">
        <v>644</v>
      </c>
      <c r="D621" s="34">
        <v>2105</v>
      </c>
      <c r="E621" s="11">
        <f t="shared" si="56"/>
        <v>273.65000000000003</v>
      </c>
      <c r="F621" s="35">
        <f t="shared" si="59"/>
        <v>27.365000000000006</v>
      </c>
      <c r="G621" s="47">
        <f t="shared" si="57"/>
        <v>2378.65</v>
      </c>
    </row>
    <row r="622" spans="3:7" x14ac:dyDescent="0.2">
      <c r="C622" s="10" t="s">
        <v>646</v>
      </c>
      <c r="D622" s="34">
        <v>2105</v>
      </c>
      <c r="E622" s="11">
        <f t="shared" si="56"/>
        <v>273.65000000000003</v>
      </c>
      <c r="F622" s="35"/>
      <c r="G622" s="47">
        <f t="shared" si="57"/>
        <v>2378.65</v>
      </c>
    </row>
    <row r="623" spans="3:7" x14ac:dyDescent="0.2">
      <c r="C623" s="21" t="s">
        <v>731</v>
      </c>
      <c r="D623" s="14"/>
      <c r="E623" s="11"/>
      <c r="F623" s="38" t="e">
        <f>+#REF!*$F$12</f>
        <v>#REF!</v>
      </c>
      <c r="G623" s="13"/>
    </row>
    <row r="624" spans="3:7" x14ac:dyDescent="0.2">
      <c r="C624" s="10" t="s">
        <v>497</v>
      </c>
      <c r="D624" s="34">
        <v>4200</v>
      </c>
      <c r="E624" s="11">
        <f t="shared" si="56"/>
        <v>546</v>
      </c>
      <c r="F624" s="35">
        <f>+E627*$F$12</f>
        <v>150.215</v>
      </c>
      <c r="G624" s="47">
        <f t="shared" si="57"/>
        <v>4746</v>
      </c>
    </row>
    <row r="625" spans="3:7" x14ac:dyDescent="0.2">
      <c r="C625" s="10" t="s">
        <v>721</v>
      </c>
      <c r="D625" s="34">
        <v>3700</v>
      </c>
      <c r="E625" s="11">
        <v>475</v>
      </c>
      <c r="F625" s="35"/>
      <c r="G625" s="47">
        <v>4130</v>
      </c>
    </row>
    <row r="626" spans="3:7" x14ac:dyDescent="0.2">
      <c r="C626" s="10" t="s">
        <v>722</v>
      </c>
      <c r="D626" s="34">
        <v>4110</v>
      </c>
      <c r="E626" s="11">
        <v>527</v>
      </c>
      <c r="F626" s="35"/>
      <c r="G626" s="47">
        <v>4852</v>
      </c>
    </row>
    <row r="627" spans="3:7" x14ac:dyDescent="0.2">
      <c r="C627" s="10" t="s">
        <v>511</v>
      </c>
      <c r="D627" s="34">
        <v>11555</v>
      </c>
      <c r="E627" s="11">
        <f t="shared" si="56"/>
        <v>1502.15</v>
      </c>
      <c r="F627" s="35">
        <f t="shared" ref="F627:F629" si="60">+E628*$F$12</f>
        <v>105.88500000000002</v>
      </c>
      <c r="G627" s="47">
        <f t="shared" si="57"/>
        <v>13057.15</v>
      </c>
    </row>
    <row r="628" spans="3:7" x14ac:dyDescent="0.2">
      <c r="C628" s="10" t="s">
        <v>360</v>
      </c>
      <c r="D628" s="34">
        <v>8145</v>
      </c>
      <c r="E628" s="11">
        <f t="shared" si="56"/>
        <v>1058.8500000000001</v>
      </c>
      <c r="F628" s="36">
        <f t="shared" si="60"/>
        <v>136.5</v>
      </c>
      <c r="G628" s="47">
        <f t="shared" si="57"/>
        <v>9203.85</v>
      </c>
    </row>
    <row r="629" spans="3:7" x14ac:dyDescent="0.2">
      <c r="C629" s="10" t="s">
        <v>361</v>
      </c>
      <c r="D629" s="34">
        <v>10500</v>
      </c>
      <c r="E629" s="11">
        <f t="shared" si="56"/>
        <v>1365</v>
      </c>
      <c r="F629" s="36">
        <f t="shared" si="60"/>
        <v>44.980000000000004</v>
      </c>
      <c r="G629" s="47">
        <f t="shared" si="57"/>
        <v>11865</v>
      </c>
    </row>
    <row r="630" spans="3:7" x14ac:dyDescent="0.2">
      <c r="C630" s="10" t="s">
        <v>362</v>
      </c>
      <c r="D630" s="34">
        <v>3460</v>
      </c>
      <c r="E630" s="11">
        <f t="shared" si="56"/>
        <v>449.8</v>
      </c>
      <c r="F630" s="36"/>
      <c r="G630" s="47">
        <f t="shared" si="57"/>
        <v>3909.8</v>
      </c>
    </row>
    <row r="631" spans="3:7" x14ac:dyDescent="0.2">
      <c r="C631" s="10" t="s">
        <v>363</v>
      </c>
      <c r="D631" s="34">
        <v>10530</v>
      </c>
      <c r="E631" s="11">
        <f t="shared" si="56"/>
        <v>1368.9</v>
      </c>
      <c r="F631" s="36">
        <f t="shared" ref="F631:F634" si="61">+E632*$F$12</f>
        <v>123.5</v>
      </c>
      <c r="G631" s="47">
        <f t="shared" si="57"/>
        <v>11898.9</v>
      </c>
    </row>
    <row r="632" spans="3:7" x14ac:dyDescent="0.2">
      <c r="C632" s="10" t="s">
        <v>510</v>
      </c>
      <c r="D632" s="34">
        <v>9500</v>
      </c>
      <c r="E632" s="11">
        <f t="shared" si="56"/>
        <v>1235</v>
      </c>
      <c r="F632" s="35">
        <f t="shared" si="61"/>
        <v>35.75</v>
      </c>
      <c r="G632" s="47">
        <f t="shared" si="57"/>
        <v>10735</v>
      </c>
    </row>
    <row r="633" spans="3:7" x14ac:dyDescent="0.2">
      <c r="C633" s="10" t="s">
        <v>834</v>
      </c>
      <c r="D633" s="34">
        <v>2750</v>
      </c>
      <c r="E633" s="11">
        <f t="shared" si="56"/>
        <v>357.5</v>
      </c>
      <c r="F633" s="35">
        <f t="shared" si="61"/>
        <v>99.775000000000006</v>
      </c>
      <c r="G633" s="47">
        <f t="shared" si="57"/>
        <v>3107.5</v>
      </c>
    </row>
    <row r="634" spans="3:7" x14ac:dyDescent="0.2">
      <c r="C634" s="10" t="s">
        <v>364</v>
      </c>
      <c r="D634" s="34">
        <v>7675</v>
      </c>
      <c r="E634" s="11">
        <f t="shared" si="56"/>
        <v>997.75</v>
      </c>
      <c r="F634" s="36">
        <f t="shared" si="61"/>
        <v>68.900000000000006</v>
      </c>
      <c r="G634" s="47">
        <f t="shared" si="57"/>
        <v>8672.75</v>
      </c>
    </row>
    <row r="635" spans="3:7" x14ac:dyDescent="0.2">
      <c r="C635" s="10" t="s">
        <v>365</v>
      </c>
      <c r="D635" s="34">
        <v>5300</v>
      </c>
      <c r="E635" s="11">
        <f t="shared" si="56"/>
        <v>689</v>
      </c>
      <c r="F635" s="37">
        <v>6550</v>
      </c>
      <c r="G635" s="47">
        <f t="shared" si="57"/>
        <v>5989</v>
      </c>
    </row>
    <row r="636" spans="3:7" x14ac:dyDescent="0.2">
      <c r="C636" s="10" t="s">
        <v>366</v>
      </c>
      <c r="D636" s="34">
        <v>3100</v>
      </c>
      <c r="E636" s="11">
        <f t="shared" si="56"/>
        <v>403</v>
      </c>
      <c r="F636" s="35"/>
      <c r="G636" s="47">
        <f t="shared" si="57"/>
        <v>3503</v>
      </c>
    </row>
    <row r="637" spans="3:7" x14ac:dyDescent="0.2">
      <c r="C637" s="10" t="s">
        <v>367</v>
      </c>
      <c r="D637" s="34">
        <v>11950</v>
      </c>
      <c r="E637" s="11">
        <f t="shared" si="56"/>
        <v>1553.5</v>
      </c>
      <c r="F637" s="42">
        <f>+E638*$F$12</f>
        <v>94.9</v>
      </c>
      <c r="G637" s="47">
        <f t="shared" si="57"/>
        <v>13503.5</v>
      </c>
    </row>
    <row r="638" spans="3:7" x14ac:dyDescent="0.2">
      <c r="C638" s="17" t="s">
        <v>462</v>
      </c>
      <c r="D638" s="34">
        <v>7300</v>
      </c>
      <c r="E638" s="11">
        <f t="shared" si="56"/>
        <v>949</v>
      </c>
      <c r="F638" s="36" t="e">
        <f>+#REF!*$F$12</f>
        <v>#REF!</v>
      </c>
      <c r="G638" s="47">
        <f t="shared" si="57"/>
        <v>8249</v>
      </c>
    </row>
    <row r="639" spans="3:7" x14ac:dyDescent="0.2">
      <c r="C639" s="10" t="s">
        <v>369</v>
      </c>
      <c r="D639" s="34">
        <v>39750</v>
      </c>
      <c r="E639" s="11">
        <f t="shared" si="56"/>
        <v>5167.5</v>
      </c>
      <c r="F639" s="35"/>
      <c r="G639" s="47">
        <f t="shared" si="57"/>
        <v>44917.5</v>
      </c>
    </row>
    <row r="640" spans="3:7" x14ac:dyDescent="0.2">
      <c r="C640" s="10" t="s">
        <v>370</v>
      </c>
      <c r="D640" s="34">
        <v>53650</v>
      </c>
      <c r="E640" s="11">
        <f t="shared" si="56"/>
        <v>6974.5</v>
      </c>
      <c r="F640" s="36">
        <f>+E642*$F$12</f>
        <v>534.16999999999996</v>
      </c>
      <c r="G640" s="47">
        <f t="shared" si="57"/>
        <v>60624.5</v>
      </c>
    </row>
    <row r="641" spans="3:7" x14ac:dyDescent="0.2">
      <c r="C641" s="10" t="s">
        <v>626</v>
      </c>
      <c r="D641" s="34">
        <v>50550</v>
      </c>
      <c r="E641" s="11">
        <f t="shared" ref="E641:E702" si="62">+D641*13%</f>
        <v>6571.5</v>
      </c>
      <c r="F641" s="35"/>
      <c r="G641" s="47">
        <f t="shared" ref="G641:G702" si="63">+D641+E641</f>
        <v>57121.5</v>
      </c>
    </row>
    <row r="642" spans="3:7" x14ac:dyDescent="0.2">
      <c r="C642" s="10" t="s">
        <v>368</v>
      </c>
      <c r="D642" s="34">
        <v>41090</v>
      </c>
      <c r="E642" s="11">
        <f t="shared" si="62"/>
        <v>5341.7</v>
      </c>
      <c r="F642" s="35" t="e">
        <f>+#REF!*$F$12</f>
        <v>#REF!</v>
      </c>
      <c r="G642" s="47">
        <f t="shared" si="63"/>
        <v>46431.7</v>
      </c>
    </row>
    <row r="643" spans="3:7" x14ac:dyDescent="0.2">
      <c r="C643" s="10" t="s">
        <v>486</v>
      </c>
      <c r="D643" s="34">
        <v>163260</v>
      </c>
      <c r="E643" s="11">
        <f t="shared" si="62"/>
        <v>21223.8</v>
      </c>
      <c r="F643" s="37">
        <v>175000</v>
      </c>
      <c r="G643" s="47">
        <f t="shared" si="63"/>
        <v>184483.8</v>
      </c>
    </row>
    <row r="644" spans="3:7" x14ac:dyDescent="0.2">
      <c r="C644" s="10" t="s">
        <v>723</v>
      </c>
      <c r="D644" s="34">
        <v>43300</v>
      </c>
      <c r="E644" s="11">
        <f t="shared" si="62"/>
        <v>5629</v>
      </c>
      <c r="F644" s="37"/>
      <c r="G644" s="47">
        <f t="shared" si="63"/>
        <v>48929</v>
      </c>
    </row>
    <row r="645" spans="3:7" x14ac:dyDescent="0.2">
      <c r="C645" s="10" t="s">
        <v>724</v>
      </c>
      <c r="D645" s="34">
        <v>15075</v>
      </c>
      <c r="E645" s="11">
        <f t="shared" si="62"/>
        <v>1959.75</v>
      </c>
      <c r="F645" s="37"/>
      <c r="G645" s="47">
        <f t="shared" si="63"/>
        <v>17034.75</v>
      </c>
    </row>
    <row r="646" spans="3:7" x14ac:dyDescent="0.2">
      <c r="C646" s="10" t="s">
        <v>725</v>
      </c>
      <c r="D646" s="34">
        <v>6380</v>
      </c>
      <c r="E646" s="11">
        <f t="shared" si="62"/>
        <v>829.4</v>
      </c>
      <c r="F646" s="37"/>
      <c r="G646" s="47">
        <f t="shared" si="63"/>
        <v>7209.4</v>
      </c>
    </row>
    <row r="647" spans="3:7" x14ac:dyDescent="0.2">
      <c r="C647" s="10" t="s">
        <v>726</v>
      </c>
      <c r="D647" s="34">
        <v>6450</v>
      </c>
      <c r="E647" s="11">
        <f t="shared" si="62"/>
        <v>838.5</v>
      </c>
      <c r="F647" s="37"/>
      <c r="G647" s="47">
        <f t="shared" si="63"/>
        <v>7288.5</v>
      </c>
    </row>
    <row r="648" spans="3:7" x14ac:dyDescent="0.2">
      <c r="C648" s="10" t="s">
        <v>727</v>
      </c>
      <c r="D648" s="34">
        <v>10185</v>
      </c>
      <c r="E648" s="11">
        <f t="shared" si="62"/>
        <v>1324.05</v>
      </c>
      <c r="F648" s="37"/>
      <c r="G648" s="47">
        <f t="shared" si="63"/>
        <v>11509.05</v>
      </c>
    </row>
    <row r="649" spans="3:7" x14ac:dyDescent="0.2">
      <c r="C649" s="10" t="s">
        <v>728</v>
      </c>
      <c r="D649" s="34">
        <v>10185</v>
      </c>
      <c r="E649" s="11">
        <f t="shared" si="62"/>
        <v>1324.05</v>
      </c>
      <c r="F649" s="37"/>
      <c r="G649" s="47">
        <f t="shared" si="63"/>
        <v>11509.05</v>
      </c>
    </row>
    <row r="650" spans="3:7" x14ac:dyDescent="0.2">
      <c r="C650" s="10" t="s">
        <v>729</v>
      </c>
      <c r="D650" s="34">
        <v>12150</v>
      </c>
      <c r="E650" s="11">
        <f t="shared" si="62"/>
        <v>1579.5</v>
      </c>
      <c r="F650" s="37"/>
      <c r="G650" s="47">
        <f t="shared" si="63"/>
        <v>13729.5</v>
      </c>
    </row>
    <row r="651" spans="3:7" x14ac:dyDescent="0.2">
      <c r="C651" s="10" t="s">
        <v>730</v>
      </c>
      <c r="D651" s="34">
        <v>11681</v>
      </c>
      <c r="E651" s="11">
        <f t="shared" si="62"/>
        <v>1518.53</v>
      </c>
      <c r="F651" s="37"/>
      <c r="G651" s="47">
        <f t="shared" si="63"/>
        <v>13199.53</v>
      </c>
    </row>
    <row r="652" spans="3:7" x14ac:dyDescent="0.2">
      <c r="C652" s="10" t="s">
        <v>732</v>
      </c>
      <c r="D652" s="34">
        <v>2000</v>
      </c>
      <c r="E652" s="11">
        <f t="shared" si="62"/>
        <v>260</v>
      </c>
      <c r="F652" s="37"/>
      <c r="G652" s="47">
        <f t="shared" si="63"/>
        <v>2260</v>
      </c>
    </row>
    <row r="653" spans="3:7" x14ac:dyDescent="0.2">
      <c r="C653" s="10" t="s">
        <v>798</v>
      </c>
      <c r="D653" s="34">
        <v>6500</v>
      </c>
      <c r="E653" s="11">
        <f t="shared" si="62"/>
        <v>845</v>
      </c>
      <c r="F653" s="37"/>
      <c r="G653" s="47">
        <f t="shared" si="63"/>
        <v>7345</v>
      </c>
    </row>
    <row r="654" spans="3:7" x14ac:dyDescent="0.2">
      <c r="C654" s="10" t="s">
        <v>799</v>
      </c>
      <c r="D654" s="34">
        <v>7350</v>
      </c>
      <c r="E654" s="11">
        <f t="shared" si="62"/>
        <v>955.5</v>
      </c>
      <c r="F654" s="37"/>
      <c r="G654" s="47">
        <f t="shared" si="63"/>
        <v>8305.5</v>
      </c>
    </row>
    <row r="655" spans="3:7" x14ac:dyDescent="0.2">
      <c r="C655" s="26" t="s">
        <v>22</v>
      </c>
      <c r="D655" s="11"/>
      <c r="E655" s="11"/>
      <c r="F655" s="36">
        <f>+E656*$F$12</f>
        <v>0</v>
      </c>
      <c r="G655" s="13"/>
    </row>
    <row r="656" spans="3:7" x14ac:dyDescent="0.2">
      <c r="C656" s="10" t="s">
        <v>2</v>
      </c>
      <c r="D656" s="45" t="s">
        <v>3</v>
      </c>
      <c r="E656" s="11"/>
      <c r="F656" s="36">
        <f>+E657*$F$12</f>
        <v>211.70500000000004</v>
      </c>
      <c r="G656" s="13"/>
    </row>
    <row r="657" spans="3:7" x14ac:dyDescent="0.2">
      <c r="C657" s="10" t="s">
        <v>371</v>
      </c>
      <c r="D657" s="34">
        <v>16285</v>
      </c>
      <c r="E657" s="11">
        <f t="shared" si="62"/>
        <v>2117.0500000000002</v>
      </c>
      <c r="F657" s="35"/>
      <c r="G657" s="47">
        <f t="shared" si="63"/>
        <v>18402.05</v>
      </c>
    </row>
    <row r="658" spans="3:7" x14ac:dyDescent="0.2">
      <c r="C658" s="10" t="s">
        <v>372</v>
      </c>
      <c r="D658" s="34">
        <v>20619</v>
      </c>
      <c r="E658" s="11">
        <f t="shared" si="62"/>
        <v>2680.4700000000003</v>
      </c>
      <c r="F658" s="36">
        <f t="shared" ref="F658:F662" si="64">+E659*$F$12</f>
        <v>204.23000000000002</v>
      </c>
      <c r="G658" s="47">
        <f t="shared" si="63"/>
        <v>23299.47</v>
      </c>
    </row>
    <row r="659" spans="3:7" x14ac:dyDescent="0.2">
      <c r="C659" s="10" t="s">
        <v>373</v>
      </c>
      <c r="D659" s="34">
        <v>15710</v>
      </c>
      <c r="E659" s="11">
        <f t="shared" si="62"/>
        <v>2042.3000000000002</v>
      </c>
      <c r="F659" s="36" t="e">
        <f>+#REF!*$F$12</f>
        <v>#REF!</v>
      </c>
      <c r="G659" s="47">
        <f t="shared" si="63"/>
        <v>17752.3</v>
      </c>
    </row>
    <row r="660" spans="3:7" x14ac:dyDescent="0.2">
      <c r="C660" s="10" t="s">
        <v>374</v>
      </c>
      <c r="D660" s="34">
        <v>37200</v>
      </c>
      <c r="E660" s="11">
        <f t="shared" si="62"/>
        <v>4836</v>
      </c>
      <c r="F660" s="36">
        <f t="shared" si="64"/>
        <v>387.72500000000002</v>
      </c>
      <c r="G660" s="47">
        <f t="shared" si="63"/>
        <v>42036</v>
      </c>
    </row>
    <row r="661" spans="3:7" x14ac:dyDescent="0.2">
      <c r="C661" s="10" t="s">
        <v>375</v>
      </c>
      <c r="D661" s="34">
        <v>29825</v>
      </c>
      <c r="E661" s="11">
        <f t="shared" si="62"/>
        <v>3877.25</v>
      </c>
      <c r="F661" s="36">
        <f t="shared" si="64"/>
        <v>430.3</v>
      </c>
      <c r="G661" s="47">
        <f t="shared" si="63"/>
        <v>33702.25</v>
      </c>
    </row>
    <row r="662" spans="3:7" x14ac:dyDescent="0.2">
      <c r="C662" s="10" t="s">
        <v>377</v>
      </c>
      <c r="D662" s="34">
        <v>33100</v>
      </c>
      <c r="E662" s="11">
        <f t="shared" si="62"/>
        <v>4303</v>
      </c>
      <c r="F662" s="36">
        <f t="shared" si="64"/>
        <v>292.214</v>
      </c>
      <c r="G662" s="47">
        <f t="shared" si="63"/>
        <v>37403</v>
      </c>
    </row>
    <row r="663" spans="3:7" x14ac:dyDescent="0.2">
      <c r="C663" s="53" t="s">
        <v>376</v>
      </c>
      <c r="D663" s="34">
        <v>22478</v>
      </c>
      <c r="E663" s="54">
        <f t="shared" si="62"/>
        <v>2922.14</v>
      </c>
      <c r="F663" s="36"/>
      <c r="G663" s="47">
        <f t="shared" si="63"/>
        <v>25400.14</v>
      </c>
    </row>
    <row r="664" spans="3:7" x14ac:dyDescent="0.2">
      <c r="C664" s="10" t="s">
        <v>495</v>
      </c>
      <c r="D664" s="34">
        <v>26520</v>
      </c>
      <c r="E664" s="11">
        <f t="shared" si="62"/>
        <v>3447.6</v>
      </c>
      <c r="F664" s="36"/>
      <c r="G664" s="47">
        <f t="shared" si="63"/>
        <v>29967.599999999999</v>
      </c>
    </row>
    <row r="665" spans="3:7" x14ac:dyDescent="0.2">
      <c r="C665" s="10" t="s">
        <v>733</v>
      </c>
      <c r="D665" s="34">
        <v>24000</v>
      </c>
      <c r="E665" s="11">
        <f t="shared" si="62"/>
        <v>3120</v>
      </c>
      <c r="F665" s="36"/>
      <c r="G665" s="47">
        <f t="shared" si="63"/>
        <v>27120</v>
      </c>
    </row>
    <row r="666" spans="3:7" x14ac:dyDescent="0.2">
      <c r="C666" s="10" t="s">
        <v>838</v>
      </c>
      <c r="D666" s="34">
        <v>30365</v>
      </c>
      <c r="E666" s="11">
        <f t="shared" si="62"/>
        <v>3947.4500000000003</v>
      </c>
      <c r="F666" s="36"/>
      <c r="G666" s="47">
        <f t="shared" si="63"/>
        <v>34312.449999999997</v>
      </c>
    </row>
    <row r="667" spans="3:7" x14ac:dyDescent="0.2">
      <c r="C667" s="26" t="s">
        <v>21</v>
      </c>
      <c r="D667" s="11"/>
      <c r="E667" s="11"/>
      <c r="F667" s="36">
        <f t="shared" ref="F667:F668" si="65">+E668*$F$12</f>
        <v>0</v>
      </c>
      <c r="G667" s="13"/>
    </row>
    <row r="668" spans="3:7" x14ac:dyDescent="0.2">
      <c r="C668" s="10" t="s">
        <v>2</v>
      </c>
      <c r="D668" s="45" t="s">
        <v>3</v>
      </c>
      <c r="E668" s="11"/>
      <c r="F668" s="36">
        <f t="shared" si="65"/>
        <v>150.54000000000002</v>
      </c>
      <c r="G668" s="13"/>
    </row>
    <row r="669" spans="3:7" x14ac:dyDescent="0.2">
      <c r="C669" s="10" t="s">
        <v>378</v>
      </c>
      <c r="D669" s="34">
        <v>11580</v>
      </c>
      <c r="E669" s="11">
        <f t="shared" si="62"/>
        <v>1505.4</v>
      </c>
      <c r="F669" s="36" t="e">
        <f>+#REF!*$F$12</f>
        <v>#REF!</v>
      </c>
      <c r="G669" s="47">
        <f t="shared" si="63"/>
        <v>13085.4</v>
      </c>
    </row>
    <row r="670" spans="3:7" x14ac:dyDescent="0.2">
      <c r="C670" s="10" t="s">
        <v>379</v>
      </c>
      <c r="D670" s="34">
        <v>14800</v>
      </c>
      <c r="E670" s="11">
        <f t="shared" si="62"/>
        <v>1924</v>
      </c>
      <c r="F670" s="36">
        <f>+E672*$F$12</f>
        <v>338</v>
      </c>
      <c r="G670" s="47">
        <f t="shared" si="63"/>
        <v>16724</v>
      </c>
    </row>
    <row r="671" spans="3:7" x14ac:dyDescent="0.2">
      <c r="C671" s="10" t="s">
        <v>736</v>
      </c>
      <c r="D671" s="34">
        <v>10670</v>
      </c>
      <c r="E671" s="11">
        <v>1387</v>
      </c>
      <c r="F671" s="36"/>
      <c r="G671" s="47">
        <v>12057</v>
      </c>
    </row>
    <row r="672" spans="3:7" x14ac:dyDescent="0.2">
      <c r="C672" s="10" t="s">
        <v>818</v>
      </c>
      <c r="D672" s="34">
        <v>26000</v>
      </c>
      <c r="E672" s="11">
        <f t="shared" si="62"/>
        <v>3380</v>
      </c>
      <c r="F672" s="36" t="e">
        <f>+#REF!*$F$12</f>
        <v>#REF!</v>
      </c>
      <c r="G672" s="47">
        <f t="shared" si="63"/>
        <v>29380</v>
      </c>
    </row>
    <row r="673" spans="3:7" x14ac:dyDescent="0.2">
      <c r="C673" s="26" t="s">
        <v>9</v>
      </c>
      <c r="D673" s="14"/>
      <c r="E673" s="11"/>
      <c r="F673" s="36">
        <f t="shared" ref="F673:F694" si="66">+E674*$F$12</f>
        <v>0</v>
      </c>
      <c r="G673" s="13"/>
    </row>
    <row r="674" spans="3:7" x14ac:dyDescent="0.2">
      <c r="C674" s="10" t="s">
        <v>2</v>
      </c>
      <c r="D674" s="45" t="s">
        <v>3</v>
      </c>
      <c r="E674" s="11"/>
      <c r="F674" s="36">
        <f t="shared" si="66"/>
        <v>661.7</v>
      </c>
      <c r="G674" s="13"/>
    </row>
    <row r="675" spans="3:7" x14ac:dyDescent="0.2">
      <c r="C675" s="10" t="s">
        <v>380</v>
      </c>
      <c r="D675" s="34">
        <v>50900</v>
      </c>
      <c r="E675" s="11">
        <f t="shared" si="62"/>
        <v>6617</v>
      </c>
      <c r="F675" s="36" t="e">
        <f>+#REF!*$F$12</f>
        <v>#REF!</v>
      </c>
      <c r="G675" s="47">
        <f t="shared" si="63"/>
        <v>57517</v>
      </c>
    </row>
    <row r="676" spans="3:7" x14ac:dyDescent="0.2">
      <c r="C676" s="10" t="s">
        <v>734</v>
      </c>
      <c r="D676" s="34">
        <v>24780</v>
      </c>
      <c r="E676" s="11">
        <f t="shared" si="62"/>
        <v>3221.4</v>
      </c>
      <c r="F676" s="36">
        <f t="shared" si="66"/>
        <v>515.125</v>
      </c>
      <c r="G676" s="47">
        <f t="shared" si="63"/>
        <v>28001.4</v>
      </c>
    </row>
    <row r="677" spans="3:7" x14ac:dyDescent="0.2">
      <c r="C677" s="10" t="s">
        <v>381</v>
      </c>
      <c r="D677" s="34">
        <v>39625</v>
      </c>
      <c r="E677" s="11">
        <f t="shared" si="62"/>
        <v>5151.25</v>
      </c>
      <c r="F677" s="36">
        <f t="shared" si="66"/>
        <v>160.55000000000001</v>
      </c>
      <c r="G677" s="47">
        <f t="shared" si="63"/>
        <v>44776.25</v>
      </c>
    </row>
    <row r="678" spans="3:7" x14ac:dyDescent="0.2">
      <c r="C678" s="10" t="s">
        <v>382</v>
      </c>
      <c r="D678" s="34">
        <v>12350</v>
      </c>
      <c r="E678" s="11">
        <f t="shared" si="62"/>
        <v>1605.5</v>
      </c>
      <c r="F678" s="35" t="e">
        <f>+#REF!*$F$12</f>
        <v>#REF!</v>
      </c>
      <c r="G678" s="47">
        <f t="shared" si="63"/>
        <v>13955.5</v>
      </c>
    </row>
    <row r="679" spans="3:7" x14ac:dyDescent="0.2">
      <c r="C679" s="10" t="s">
        <v>538</v>
      </c>
      <c r="D679" s="34">
        <v>6720</v>
      </c>
      <c r="E679" s="11">
        <f t="shared" si="62"/>
        <v>873.6</v>
      </c>
      <c r="F679" s="35"/>
      <c r="G679" s="47">
        <f t="shared" si="63"/>
        <v>7593.6</v>
      </c>
    </row>
    <row r="680" spans="3:7" x14ac:dyDescent="0.2">
      <c r="C680" s="10" t="s">
        <v>735</v>
      </c>
      <c r="D680" s="34">
        <v>11005</v>
      </c>
      <c r="E680" s="11">
        <f t="shared" si="62"/>
        <v>1430.65</v>
      </c>
      <c r="F680" s="38">
        <f t="shared" si="66"/>
        <v>131.04000000000002</v>
      </c>
      <c r="G680" s="47">
        <f t="shared" si="63"/>
        <v>12435.65</v>
      </c>
    </row>
    <row r="681" spans="3:7" x14ac:dyDescent="0.2">
      <c r="C681" s="10" t="s">
        <v>517</v>
      </c>
      <c r="D681" s="34">
        <v>10080</v>
      </c>
      <c r="E681" s="11">
        <f t="shared" si="62"/>
        <v>1310.4000000000001</v>
      </c>
      <c r="F681" s="35" t="e">
        <f>+#REF!*$F$12</f>
        <v>#REF!</v>
      </c>
      <c r="G681" s="47">
        <f t="shared" si="63"/>
        <v>11390.4</v>
      </c>
    </row>
    <row r="682" spans="3:7" x14ac:dyDescent="0.2">
      <c r="C682" s="10" t="s">
        <v>536</v>
      </c>
      <c r="D682" s="34">
        <v>9070</v>
      </c>
      <c r="E682" s="11">
        <f t="shared" si="62"/>
        <v>1179.1000000000001</v>
      </c>
      <c r="F682" s="36">
        <f>+E686*$F$12</f>
        <v>0</v>
      </c>
      <c r="G682" s="47">
        <f t="shared" si="63"/>
        <v>10249.1</v>
      </c>
    </row>
    <row r="683" spans="3:7" x14ac:dyDescent="0.2">
      <c r="C683" s="10" t="s">
        <v>737</v>
      </c>
      <c r="D683" s="34">
        <v>9425</v>
      </c>
      <c r="E683" s="11">
        <f t="shared" si="62"/>
        <v>1225.25</v>
      </c>
      <c r="F683" s="36"/>
      <c r="G683" s="47">
        <f t="shared" si="63"/>
        <v>10650.25</v>
      </c>
    </row>
    <row r="684" spans="3:7" x14ac:dyDescent="0.2">
      <c r="C684" s="10" t="s">
        <v>738</v>
      </c>
      <c r="D684" s="34">
        <v>8893</v>
      </c>
      <c r="E684" s="11">
        <f t="shared" si="62"/>
        <v>1156.0900000000001</v>
      </c>
      <c r="F684" s="36"/>
      <c r="G684" s="47">
        <f t="shared" si="63"/>
        <v>10049.09</v>
      </c>
    </row>
    <row r="685" spans="3:7" x14ac:dyDescent="0.2">
      <c r="C685" s="26" t="s">
        <v>10</v>
      </c>
      <c r="D685" s="14"/>
      <c r="E685" s="11"/>
      <c r="F685" s="36">
        <f>+E686*$F$12</f>
        <v>0</v>
      </c>
      <c r="G685" s="13"/>
    </row>
    <row r="686" spans="3:7" x14ac:dyDescent="0.2">
      <c r="C686" s="10" t="s">
        <v>2</v>
      </c>
      <c r="D686" s="45" t="s">
        <v>3</v>
      </c>
      <c r="E686" s="11"/>
      <c r="F686" s="36" t="e">
        <f>+#REF!*$F$12</f>
        <v>#REF!</v>
      </c>
      <c r="G686" s="13"/>
    </row>
    <row r="687" spans="3:7" x14ac:dyDescent="0.2">
      <c r="C687" s="10" t="s">
        <v>383</v>
      </c>
      <c r="D687" s="34">
        <v>27900</v>
      </c>
      <c r="E687" s="11">
        <f t="shared" si="62"/>
        <v>3627</v>
      </c>
      <c r="F687" s="35">
        <f t="shared" si="66"/>
        <v>643.95500000000004</v>
      </c>
      <c r="G687" s="47">
        <f t="shared" si="63"/>
        <v>31527</v>
      </c>
    </row>
    <row r="688" spans="3:7" x14ac:dyDescent="0.2">
      <c r="C688" s="10" t="s">
        <v>385</v>
      </c>
      <c r="D688" s="34">
        <v>49535</v>
      </c>
      <c r="E688" s="11">
        <f t="shared" si="62"/>
        <v>6439.55</v>
      </c>
      <c r="F688" s="37">
        <v>52250</v>
      </c>
      <c r="G688" s="47">
        <f t="shared" si="63"/>
        <v>55974.55</v>
      </c>
    </row>
    <row r="689" spans="3:7" x14ac:dyDescent="0.2">
      <c r="C689" s="10" t="s">
        <v>384</v>
      </c>
      <c r="D689" s="34">
        <v>134400</v>
      </c>
      <c r="E689" s="11">
        <f t="shared" si="62"/>
        <v>17472</v>
      </c>
      <c r="F689" s="36" t="e">
        <f>+#REF!*$F$12</f>
        <v>#REF!</v>
      </c>
      <c r="G689" s="47">
        <f t="shared" si="63"/>
        <v>151872</v>
      </c>
    </row>
    <row r="690" spans="3:7" x14ac:dyDescent="0.2">
      <c r="C690" s="10" t="s">
        <v>564</v>
      </c>
      <c r="D690" s="34">
        <v>25825</v>
      </c>
      <c r="E690" s="11">
        <f t="shared" si="62"/>
        <v>3357.25</v>
      </c>
      <c r="F690" s="35">
        <f t="shared" si="66"/>
        <v>594.75</v>
      </c>
      <c r="G690" s="47">
        <f t="shared" si="63"/>
        <v>29182.25</v>
      </c>
    </row>
    <row r="691" spans="3:7" x14ac:dyDescent="0.2">
      <c r="C691" s="10" t="s">
        <v>563</v>
      </c>
      <c r="D691" s="34">
        <v>45750</v>
      </c>
      <c r="E691" s="11">
        <f t="shared" si="62"/>
        <v>5947.5</v>
      </c>
      <c r="F691" s="35">
        <f t="shared" si="66"/>
        <v>2215.2000000000003</v>
      </c>
      <c r="G691" s="47">
        <f t="shared" si="63"/>
        <v>51697.5</v>
      </c>
    </row>
    <row r="692" spans="3:7" x14ac:dyDescent="0.2">
      <c r="C692" s="10" t="s">
        <v>386</v>
      </c>
      <c r="D692" s="34">
        <v>170400</v>
      </c>
      <c r="E692" s="11">
        <f t="shared" si="62"/>
        <v>22152</v>
      </c>
      <c r="F692" s="35" t="e">
        <f>+#REF!*$F$12</f>
        <v>#REF!</v>
      </c>
      <c r="G692" s="47">
        <f t="shared" si="63"/>
        <v>192552</v>
      </c>
    </row>
    <row r="693" spans="3:7" x14ac:dyDescent="0.2">
      <c r="C693" s="10" t="s">
        <v>739</v>
      </c>
      <c r="D693" s="34">
        <v>163495</v>
      </c>
      <c r="E693" s="11">
        <f t="shared" si="62"/>
        <v>21254.350000000002</v>
      </c>
      <c r="F693" s="35"/>
      <c r="G693" s="47">
        <f t="shared" si="63"/>
        <v>184749.35</v>
      </c>
    </row>
    <row r="694" spans="3:7" x14ac:dyDescent="0.2">
      <c r="C694" s="26" t="s">
        <v>11</v>
      </c>
      <c r="D694" s="14"/>
      <c r="E694" s="11"/>
      <c r="F694" s="36">
        <f t="shared" si="66"/>
        <v>0</v>
      </c>
      <c r="G694" s="13"/>
    </row>
    <row r="695" spans="3:7" x14ac:dyDescent="0.2">
      <c r="C695" s="10" t="s">
        <v>2</v>
      </c>
      <c r="D695" s="45" t="s">
        <v>3</v>
      </c>
      <c r="E695" s="11"/>
      <c r="F695" s="36"/>
      <c r="G695" s="13"/>
    </row>
    <row r="696" spans="3:7" x14ac:dyDescent="0.2">
      <c r="C696" s="10" t="s">
        <v>387</v>
      </c>
      <c r="D696" s="34">
        <v>5000</v>
      </c>
      <c r="E696" s="11">
        <f t="shared" ref="E696" si="67">+D696*13%</f>
        <v>650</v>
      </c>
      <c r="F696" s="35" t="e">
        <f>+#REF!*$F$12</f>
        <v>#REF!</v>
      </c>
      <c r="G696" s="47">
        <f t="shared" ref="G696" si="68">+D696+E696</f>
        <v>5650</v>
      </c>
    </row>
    <row r="697" spans="3:7" x14ac:dyDescent="0.2">
      <c r="C697" s="10" t="s">
        <v>388</v>
      </c>
      <c r="D697" s="34">
        <v>12300</v>
      </c>
      <c r="E697" s="11">
        <f t="shared" si="62"/>
        <v>1599</v>
      </c>
      <c r="F697" s="35" t="e">
        <f>+#REF!*$F$12</f>
        <v>#REF!</v>
      </c>
      <c r="G697" s="47">
        <f t="shared" si="63"/>
        <v>13899</v>
      </c>
    </row>
    <row r="698" spans="3:7" x14ac:dyDescent="0.2">
      <c r="C698" s="10" t="s">
        <v>389</v>
      </c>
      <c r="D698" s="34">
        <v>13185</v>
      </c>
      <c r="E698" s="11">
        <f t="shared" si="62"/>
        <v>1714.05</v>
      </c>
      <c r="F698" s="35">
        <f t="shared" ref="F698:F733" si="69">+E699*$F$12</f>
        <v>220.15500000000003</v>
      </c>
      <c r="G698" s="47">
        <f t="shared" si="63"/>
        <v>14899.05</v>
      </c>
    </row>
    <row r="699" spans="3:7" x14ac:dyDescent="0.2">
      <c r="C699" s="10" t="s">
        <v>390</v>
      </c>
      <c r="D699" s="34">
        <v>16935</v>
      </c>
      <c r="E699" s="11">
        <f t="shared" si="62"/>
        <v>2201.5500000000002</v>
      </c>
      <c r="F699" s="35">
        <f>+E701*$F$12</f>
        <v>103.48</v>
      </c>
      <c r="G699" s="47">
        <f t="shared" si="63"/>
        <v>19136.55</v>
      </c>
    </row>
    <row r="700" spans="3:7" x14ac:dyDescent="0.2">
      <c r="C700" s="10" t="s">
        <v>507</v>
      </c>
      <c r="D700" s="34">
        <v>8735</v>
      </c>
      <c r="E700" s="11">
        <f t="shared" si="62"/>
        <v>1135.55</v>
      </c>
      <c r="F700" s="35"/>
      <c r="G700" s="47">
        <f t="shared" si="63"/>
        <v>9870.5499999999993</v>
      </c>
    </row>
    <row r="701" spans="3:7" x14ac:dyDescent="0.2">
      <c r="C701" s="10" t="s">
        <v>391</v>
      </c>
      <c r="D701" s="34">
        <v>7960</v>
      </c>
      <c r="E701" s="11">
        <f t="shared" si="62"/>
        <v>1034.8</v>
      </c>
      <c r="F701" s="35">
        <f t="shared" si="69"/>
        <v>363.35</v>
      </c>
      <c r="G701" s="47">
        <f t="shared" si="63"/>
        <v>8994.7999999999993</v>
      </c>
    </row>
    <row r="702" spans="3:7" x14ac:dyDescent="0.2">
      <c r="C702" s="10" t="s">
        <v>392</v>
      </c>
      <c r="D702" s="34">
        <v>27950</v>
      </c>
      <c r="E702" s="11">
        <f t="shared" si="62"/>
        <v>3633.5</v>
      </c>
      <c r="F702" s="35">
        <f>+E704*$F$12</f>
        <v>160.29000000000002</v>
      </c>
      <c r="G702" s="47">
        <f t="shared" si="63"/>
        <v>31583.5</v>
      </c>
    </row>
    <row r="703" spans="3:7" x14ac:dyDescent="0.2">
      <c r="C703" s="10" t="s">
        <v>524</v>
      </c>
      <c r="D703" s="34">
        <v>24800</v>
      </c>
      <c r="E703" s="11">
        <f t="shared" ref="E703:E782" si="70">+D703*13%</f>
        <v>3224</v>
      </c>
      <c r="F703" s="35"/>
      <c r="G703" s="47">
        <f t="shared" ref="G703:G782" si="71">+D703+E703</f>
        <v>28024</v>
      </c>
    </row>
    <row r="704" spans="3:7" x14ac:dyDescent="0.2">
      <c r="C704" s="10" t="s">
        <v>393</v>
      </c>
      <c r="D704" s="34">
        <v>12330</v>
      </c>
      <c r="E704" s="11">
        <f t="shared" si="70"/>
        <v>1602.9</v>
      </c>
      <c r="F704" s="35">
        <f t="shared" si="69"/>
        <v>207.54500000000004</v>
      </c>
      <c r="G704" s="47">
        <f t="shared" si="71"/>
        <v>13932.9</v>
      </c>
    </row>
    <row r="705" spans="3:7" x14ac:dyDescent="0.2">
      <c r="C705" s="10" t="s">
        <v>394</v>
      </c>
      <c r="D705" s="34">
        <v>15965</v>
      </c>
      <c r="E705" s="11">
        <f t="shared" si="70"/>
        <v>2075.4500000000003</v>
      </c>
      <c r="F705" s="35">
        <f>+E707*$F$12</f>
        <v>269.03500000000003</v>
      </c>
      <c r="G705" s="47">
        <f t="shared" si="71"/>
        <v>18040.45</v>
      </c>
    </row>
    <row r="706" spans="3:7" x14ac:dyDescent="0.2">
      <c r="C706" s="10" t="s">
        <v>601</v>
      </c>
      <c r="D706" s="34">
        <v>6485</v>
      </c>
      <c r="E706" s="11">
        <f t="shared" si="70"/>
        <v>843.05000000000007</v>
      </c>
      <c r="F706" s="35"/>
      <c r="G706" s="47">
        <f t="shared" si="71"/>
        <v>7328.05</v>
      </c>
    </row>
    <row r="707" spans="3:7" x14ac:dyDescent="0.2">
      <c r="C707" s="10" t="s">
        <v>395</v>
      </c>
      <c r="D707" s="34">
        <v>20695</v>
      </c>
      <c r="E707" s="11">
        <f t="shared" si="70"/>
        <v>2690.35</v>
      </c>
      <c r="F707" s="37">
        <v>21550</v>
      </c>
      <c r="G707" s="47">
        <f t="shared" si="71"/>
        <v>23385.35</v>
      </c>
    </row>
    <row r="708" spans="3:7" x14ac:dyDescent="0.2">
      <c r="C708" s="10" t="s">
        <v>560</v>
      </c>
      <c r="D708" s="34">
        <v>13220</v>
      </c>
      <c r="E708" s="11">
        <f t="shared" si="70"/>
        <v>1718.6000000000001</v>
      </c>
      <c r="F708" s="35"/>
      <c r="G708" s="47">
        <f t="shared" si="71"/>
        <v>14938.6</v>
      </c>
    </row>
    <row r="709" spans="3:7" x14ac:dyDescent="0.2">
      <c r="C709" s="10" t="s">
        <v>594</v>
      </c>
      <c r="D709" s="34">
        <v>28900</v>
      </c>
      <c r="E709" s="11">
        <f t="shared" si="70"/>
        <v>3757</v>
      </c>
      <c r="F709" s="35"/>
      <c r="G709" s="47">
        <f t="shared" si="71"/>
        <v>32657</v>
      </c>
    </row>
    <row r="710" spans="3:7" x14ac:dyDescent="0.2">
      <c r="C710" s="10" t="s">
        <v>588</v>
      </c>
      <c r="D710" s="34">
        <v>25900</v>
      </c>
      <c r="E710" s="11">
        <f t="shared" si="70"/>
        <v>3367</v>
      </c>
      <c r="F710" s="35"/>
      <c r="G710" s="47">
        <f t="shared" si="71"/>
        <v>29267</v>
      </c>
    </row>
    <row r="711" spans="3:7" x14ac:dyDescent="0.2">
      <c r="C711" s="10" t="s">
        <v>589</v>
      </c>
      <c r="D711" s="34">
        <v>34190</v>
      </c>
      <c r="E711" s="11">
        <f t="shared" si="70"/>
        <v>4444.7</v>
      </c>
      <c r="F711" s="35"/>
      <c r="G711" s="47">
        <f t="shared" si="71"/>
        <v>38634.699999999997</v>
      </c>
    </row>
    <row r="712" spans="3:7" x14ac:dyDescent="0.2">
      <c r="C712" s="10" t="s">
        <v>667</v>
      </c>
      <c r="D712" s="34">
        <v>27975</v>
      </c>
      <c r="E712" s="11">
        <f t="shared" si="70"/>
        <v>3636.75</v>
      </c>
      <c r="F712" s="35"/>
      <c r="G712" s="47">
        <f t="shared" si="71"/>
        <v>31611.75</v>
      </c>
    </row>
    <row r="713" spans="3:7" x14ac:dyDescent="0.2">
      <c r="C713" s="10" t="s">
        <v>668</v>
      </c>
      <c r="D713" s="34">
        <v>27975</v>
      </c>
      <c r="E713" s="11">
        <f t="shared" si="70"/>
        <v>3636.75</v>
      </c>
      <c r="F713" s="35"/>
      <c r="G713" s="47">
        <f t="shared" si="71"/>
        <v>31611.75</v>
      </c>
    </row>
    <row r="714" spans="3:7" x14ac:dyDescent="0.2">
      <c r="C714" s="10" t="s">
        <v>669</v>
      </c>
      <c r="D714" s="34">
        <v>27975</v>
      </c>
      <c r="E714" s="11">
        <f t="shared" si="70"/>
        <v>3636.75</v>
      </c>
      <c r="F714" s="35"/>
      <c r="G714" s="47">
        <f t="shared" si="71"/>
        <v>31611.75</v>
      </c>
    </row>
    <row r="715" spans="3:7" x14ac:dyDescent="0.2">
      <c r="C715" s="10" t="s">
        <v>670</v>
      </c>
      <c r="D715" s="34">
        <v>27975</v>
      </c>
      <c r="E715" s="11">
        <f t="shared" si="70"/>
        <v>3636.75</v>
      </c>
      <c r="F715" s="35"/>
      <c r="G715" s="47">
        <f t="shared" si="71"/>
        <v>31611.75</v>
      </c>
    </row>
    <row r="716" spans="3:7" x14ac:dyDescent="0.2">
      <c r="C716" s="10" t="s">
        <v>525</v>
      </c>
      <c r="D716" s="34">
        <v>18950</v>
      </c>
      <c r="E716" s="11">
        <f t="shared" si="70"/>
        <v>2463.5</v>
      </c>
      <c r="F716" s="36"/>
      <c r="G716" s="47">
        <f t="shared" si="71"/>
        <v>21413.5</v>
      </c>
    </row>
    <row r="717" spans="3:7" x14ac:dyDescent="0.2">
      <c r="C717" s="10" t="s">
        <v>740</v>
      </c>
      <c r="D717" s="34">
        <v>9995</v>
      </c>
      <c r="E717" s="11">
        <f t="shared" si="70"/>
        <v>1299.3500000000001</v>
      </c>
      <c r="F717" s="36"/>
      <c r="G717" s="47">
        <f t="shared" si="71"/>
        <v>11294.35</v>
      </c>
    </row>
    <row r="718" spans="3:7" x14ac:dyDescent="0.2">
      <c r="C718" s="10" t="s">
        <v>587</v>
      </c>
      <c r="D718" s="34">
        <v>9995</v>
      </c>
      <c r="E718" s="11">
        <f t="shared" si="70"/>
        <v>1299.3500000000001</v>
      </c>
      <c r="F718" s="35"/>
      <c r="G718" s="47">
        <f t="shared" si="71"/>
        <v>11294.35</v>
      </c>
    </row>
    <row r="719" spans="3:7" x14ac:dyDescent="0.2">
      <c r="C719" s="10" t="s">
        <v>741</v>
      </c>
      <c r="D719" s="34">
        <v>8400</v>
      </c>
      <c r="E719" s="11">
        <f t="shared" si="70"/>
        <v>1092</v>
      </c>
      <c r="F719" s="35"/>
      <c r="G719" s="47">
        <f t="shared" si="71"/>
        <v>9492</v>
      </c>
    </row>
    <row r="720" spans="3:7" x14ac:dyDescent="0.2">
      <c r="C720" s="10" t="s">
        <v>742</v>
      </c>
      <c r="D720" s="34">
        <v>22450</v>
      </c>
      <c r="E720" s="11">
        <f t="shared" si="70"/>
        <v>2918.5</v>
      </c>
      <c r="F720" s="35"/>
      <c r="G720" s="47">
        <f t="shared" si="71"/>
        <v>25368.5</v>
      </c>
    </row>
    <row r="721" spans="3:7" x14ac:dyDescent="0.2">
      <c r="C721" s="10" t="s">
        <v>561</v>
      </c>
      <c r="D721" s="34">
        <v>26160</v>
      </c>
      <c r="E721" s="11">
        <f t="shared" si="70"/>
        <v>3400.8</v>
      </c>
      <c r="F721" s="35">
        <f>+E724*$F$12</f>
        <v>0</v>
      </c>
      <c r="G721" s="47">
        <f t="shared" si="71"/>
        <v>29560.799999999999</v>
      </c>
    </row>
    <row r="722" spans="3:7" x14ac:dyDescent="0.2">
      <c r="C722" s="10" t="s">
        <v>562</v>
      </c>
      <c r="D722" s="34">
        <v>36152</v>
      </c>
      <c r="E722" s="11">
        <f t="shared" si="70"/>
        <v>4699.76</v>
      </c>
      <c r="F722" s="35"/>
      <c r="G722" s="47">
        <f t="shared" si="71"/>
        <v>40851.760000000002</v>
      </c>
    </row>
    <row r="723" spans="3:7" x14ac:dyDescent="0.2">
      <c r="C723" s="10" t="s">
        <v>743</v>
      </c>
      <c r="D723" s="34">
        <v>13700</v>
      </c>
      <c r="E723" s="11">
        <f t="shared" si="70"/>
        <v>1781</v>
      </c>
      <c r="F723" s="35"/>
      <c r="G723" s="47">
        <f t="shared" si="71"/>
        <v>15481</v>
      </c>
    </row>
    <row r="724" spans="3:7" x14ac:dyDescent="0.2">
      <c r="C724" s="26" t="s">
        <v>12</v>
      </c>
      <c r="D724" s="14"/>
      <c r="E724" s="11"/>
      <c r="F724" s="36">
        <f t="shared" si="69"/>
        <v>0</v>
      </c>
      <c r="G724" s="13"/>
    </row>
    <row r="725" spans="3:7" x14ac:dyDescent="0.2">
      <c r="C725" s="10" t="s">
        <v>2</v>
      </c>
      <c r="D725" s="45" t="s">
        <v>3</v>
      </c>
      <c r="E725" s="11"/>
      <c r="F725" s="36">
        <f t="shared" si="69"/>
        <v>86.45</v>
      </c>
      <c r="G725" s="13"/>
    </row>
    <row r="726" spans="3:7" x14ac:dyDescent="0.2">
      <c r="C726" s="10" t="s">
        <v>396</v>
      </c>
      <c r="D726" s="34">
        <v>6650</v>
      </c>
      <c r="E726" s="11">
        <f t="shared" si="70"/>
        <v>864.5</v>
      </c>
      <c r="F726" s="35">
        <f t="shared" si="69"/>
        <v>86.45</v>
      </c>
      <c r="G726" s="47">
        <f t="shared" si="71"/>
        <v>7514.5</v>
      </c>
    </row>
    <row r="727" spans="3:7" x14ac:dyDescent="0.2">
      <c r="C727" s="10" t="s">
        <v>398</v>
      </c>
      <c r="D727" s="34">
        <v>6650</v>
      </c>
      <c r="E727" s="11">
        <f t="shared" si="70"/>
        <v>864.5</v>
      </c>
      <c r="F727" s="35">
        <f t="shared" si="69"/>
        <v>86.45</v>
      </c>
      <c r="G727" s="47">
        <f t="shared" si="71"/>
        <v>7514.5</v>
      </c>
    </row>
    <row r="728" spans="3:7" x14ac:dyDescent="0.2">
      <c r="C728" s="10" t="s">
        <v>397</v>
      </c>
      <c r="D728" s="34">
        <v>6650</v>
      </c>
      <c r="E728" s="11">
        <f t="shared" si="70"/>
        <v>864.5</v>
      </c>
      <c r="F728" s="35">
        <f t="shared" si="69"/>
        <v>106.27500000000001</v>
      </c>
      <c r="G728" s="47">
        <f t="shared" si="71"/>
        <v>7514.5</v>
      </c>
    </row>
    <row r="729" spans="3:7" x14ac:dyDescent="0.2">
      <c r="C729" s="10" t="s">
        <v>399</v>
      </c>
      <c r="D729" s="34">
        <v>8175</v>
      </c>
      <c r="E729" s="11">
        <f t="shared" si="70"/>
        <v>1062.75</v>
      </c>
      <c r="F729" s="35">
        <f t="shared" si="69"/>
        <v>106.27500000000001</v>
      </c>
      <c r="G729" s="47">
        <f t="shared" si="71"/>
        <v>9237.75</v>
      </c>
    </row>
    <row r="730" spans="3:7" x14ac:dyDescent="0.2">
      <c r="C730" s="10" t="s">
        <v>400</v>
      </c>
      <c r="D730" s="34">
        <v>8175</v>
      </c>
      <c r="E730" s="11">
        <f t="shared" si="70"/>
        <v>1062.75</v>
      </c>
      <c r="F730" s="35">
        <f>+E732*$F$12</f>
        <v>142.28500000000003</v>
      </c>
      <c r="G730" s="47">
        <f t="shared" si="71"/>
        <v>9237.75</v>
      </c>
    </row>
    <row r="731" spans="3:7" x14ac:dyDescent="0.2">
      <c r="C731" s="10" t="s">
        <v>638</v>
      </c>
      <c r="D731" s="34">
        <v>8175</v>
      </c>
      <c r="E731" s="11">
        <f t="shared" si="70"/>
        <v>1062.75</v>
      </c>
      <c r="F731" s="35"/>
      <c r="G731" s="47">
        <f t="shared" si="71"/>
        <v>9237.75</v>
      </c>
    </row>
    <row r="732" spans="3:7" x14ac:dyDescent="0.2">
      <c r="C732" s="10" t="s">
        <v>401</v>
      </c>
      <c r="D732" s="34">
        <v>10945</v>
      </c>
      <c r="E732" s="11">
        <f t="shared" si="70"/>
        <v>1422.8500000000001</v>
      </c>
      <c r="F732" s="35">
        <f t="shared" si="69"/>
        <v>142.28500000000003</v>
      </c>
      <c r="G732" s="47">
        <f t="shared" si="71"/>
        <v>12367.85</v>
      </c>
    </row>
    <row r="733" spans="3:7" x14ac:dyDescent="0.2">
      <c r="C733" s="10" t="s">
        <v>402</v>
      </c>
      <c r="D733" s="34">
        <v>10945</v>
      </c>
      <c r="E733" s="11">
        <f t="shared" si="70"/>
        <v>1422.8500000000001</v>
      </c>
      <c r="F733" s="35">
        <f t="shared" si="69"/>
        <v>142.155</v>
      </c>
      <c r="G733" s="47">
        <f t="shared" si="71"/>
        <v>12367.85</v>
      </c>
    </row>
    <row r="734" spans="3:7" x14ac:dyDescent="0.2">
      <c r="C734" s="10" t="s">
        <v>403</v>
      </c>
      <c r="D734" s="34">
        <v>10935</v>
      </c>
      <c r="E734" s="11">
        <f t="shared" si="70"/>
        <v>1421.55</v>
      </c>
      <c r="F734" s="35"/>
      <c r="G734" s="47">
        <f t="shared" si="71"/>
        <v>12356.55</v>
      </c>
    </row>
    <row r="735" spans="3:7" x14ac:dyDescent="0.2">
      <c r="C735" s="10" t="s">
        <v>487</v>
      </c>
      <c r="D735" s="34">
        <v>9750</v>
      </c>
      <c r="E735" s="11">
        <f t="shared" si="70"/>
        <v>1267.5</v>
      </c>
      <c r="F735" s="36">
        <f>+E737*$F$12</f>
        <v>0</v>
      </c>
      <c r="G735" s="47">
        <f t="shared" si="71"/>
        <v>11017.5</v>
      </c>
    </row>
    <row r="736" spans="3:7" x14ac:dyDescent="0.2">
      <c r="C736" s="10" t="s">
        <v>488</v>
      </c>
      <c r="D736" s="34">
        <v>9750</v>
      </c>
      <c r="E736" s="11">
        <f t="shared" si="70"/>
        <v>1267.5</v>
      </c>
      <c r="F736" s="36"/>
      <c r="G736" s="47">
        <f t="shared" si="71"/>
        <v>11017.5</v>
      </c>
    </row>
    <row r="737" spans="3:7" x14ac:dyDescent="0.2">
      <c r="C737" s="26" t="s">
        <v>13</v>
      </c>
      <c r="D737" s="14"/>
      <c r="E737" s="11"/>
      <c r="F737" s="36">
        <f>+E738*$F$12</f>
        <v>0</v>
      </c>
      <c r="G737" s="13"/>
    </row>
    <row r="738" spans="3:7" x14ac:dyDescent="0.2">
      <c r="C738" s="10" t="s">
        <v>2</v>
      </c>
      <c r="D738" s="45" t="s">
        <v>3</v>
      </c>
      <c r="E738" s="11"/>
      <c r="F738" s="36"/>
      <c r="G738" s="13"/>
    </row>
    <row r="739" spans="3:7" x14ac:dyDescent="0.2">
      <c r="C739" s="10" t="s">
        <v>828</v>
      </c>
      <c r="D739" s="34">
        <v>6955</v>
      </c>
      <c r="E739" s="11">
        <f t="shared" ref="E739:E740" si="72">+D739*13%</f>
        <v>904.15</v>
      </c>
      <c r="F739" s="35">
        <f>+E743*$F$12</f>
        <v>117.65</v>
      </c>
      <c r="G739" s="47">
        <f t="shared" ref="G739:G740" si="73">+D739+E739</f>
        <v>7859.15</v>
      </c>
    </row>
    <row r="740" spans="3:7" x14ac:dyDescent="0.2">
      <c r="C740" s="10" t="s">
        <v>829</v>
      </c>
      <c r="D740" s="34">
        <v>3480</v>
      </c>
      <c r="E740" s="11">
        <f t="shared" si="72"/>
        <v>452.40000000000003</v>
      </c>
      <c r="F740" s="35"/>
      <c r="G740" s="47">
        <f t="shared" si="73"/>
        <v>3932.4</v>
      </c>
    </row>
    <row r="741" spans="3:7" x14ac:dyDescent="0.2">
      <c r="C741" s="10" t="s">
        <v>404</v>
      </c>
      <c r="D741" s="34">
        <v>7080</v>
      </c>
      <c r="E741" s="11">
        <f t="shared" si="70"/>
        <v>920.4</v>
      </c>
      <c r="F741" s="35">
        <f>+E745*$F$12</f>
        <v>151.58000000000001</v>
      </c>
      <c r="G741" s="47">
        <f t="shared" si="71"/>
        <v>8000.4</v>
      </c>
    </row>
    <row r="742" spans="3:7" x14ac:dyDescent="0.2">
      <c r="C742" s="10" t="s">
        <v>586</v>
      </c>
      <c r="D742" s="34">
        <v>7080</v>
      </c>
      <c r="E742" s="11">
        <f t="shared" si="70"/>
        <v>920.4</v>
      </c>
      <c r="F742" s="35"/>
      <c r="G742" s="47">
        <f t="shared" si="71"/>
        <v>8000.4</v>
      </c>
    </row>
    <row r="743" spans="3:7" x14ac:dyDescent="0.2">
      <c r="C743" s="10" t="s">
        <v>529</v>
      </c>
      <c r="D743" s="34">
        <v>9050</v>
      </c>
      <c r="E743" s="11">
        <f t="shared" si="70"/>
        <v>1176.5</v>
      </c>
      <c r="F743" s="36"/>
      <c r="G743" s="47">
        <f t="shared" si="71"/>
        <v>10226.5</v>
      </c>
    </row>
    <row r="744" spans="3:7" x14ac:dyDescent="0.2">
      <c r="C744" s="10" t="s">
        <v>483</v>
      </c>
      <c r="D744" s="34">
        <v>15965</v>
      </c>
      <c r="E744" s="11">
        <f t="shared" si="70"/>
        <v>2075.4500000000003</v>
      </c>
      <c r="F744" s="36"/>
      <c r="G744" s="47">
        <f t="shared" si="71"/>
        <v>18040.45</v>
      </c>
    </row>
    <row r="745" spans="3:7" x14ac:dyDescent="0.2">
      <c r="C745" s="10" t="s">
        <v>405</v>
      </c>
      <c r="D745" s="34">
        <v>11660</v>
      </c>
      <c r="E745" s="11">
        <f t="shared" si="70"/>
        <v>1515.8</v>
      </c>
      <c r="F745" s="35"/>
      <c r="G745" s="47">
        <f t="shared" si="71"/>
        <v>13175.8</v>
      </c>
    </row>
    <row r="746" spans="3:7" x14ac:dyDescent="0.2">
      <c r="C746" s="10" t="s">
        <v>406</v>
      </c>
      <c r="D746" s="34">
        <v>1355</v>
      </c>
      <c r="E746" s="11">
        <f t="shared" si="70"/>
        <v>176.15</v>
      </c>
      <c r="F746" s="35">
        <v>0</v>
      </c>
      <c r="G746" s="47">
        <f t="shared" si="71"/>
        <v>1531.15</v>
      </c>
    </row>
    <row r="747" spans="3:7" x14ac:dyDescent="0.2">
      <c r="C747" s="10" t="s">
        <v>407</v>
      </c>
      <c r="D747" s="34">
        <v>4285</v>
      </c>
      <c r="E747" s="11">
        <f t="shared" si="70"/>
        <v>557.05000000000007</v>
      </c>
      <c r="F747" s="35">
        <v>0</v>
      </c>
      <c r="G747" s="47">
        <f t="shared" si="71"/>
        <v>4842.05</v>
      </c>
    </row>
    <row r="748" spans="3:7" x14ac:dyDescent="0.2">
      <c r="C748" s="10" t="s">
        <v>830</v>
      </c>
      <c r="D748" s="34">
        <v>3600</v>
      </c>
      <c r="E748" s="11">
        <f t="shared" si="70"/>
        <v>468</v>
      </c>
      <c r="F748" s="35"/>
      <c r="G748" s="47">
        <f t="shared" si="71"/>
        <v>4068</v>
      </c>
    </row>
    <row r="749" spans="3:7" x14ac:dyDescent="0.2">
      <c r="C749" s="10" t="s">
        <v>831</v>
      </c>
      <c r="D749" s="34">
        <v>3600</v>
      </c>
      <c r="E749" s="11">
        <f t="shared" si="70"/>
        <v>468</v>
      </c>
      <c r="F749" s="35"/>
      <c r="G749" s="47">
        <f t="shared" si="71"/>
        <v>4068</v>
      </c>
    </row>
    <row r="750" spans="3:7" x14ac:dyDescent="0.2">
      <c r="C750" s="10" t="s">
        <v>684</v>
      </c>
      <c r="D750" s="34">
        <v>3600</v>
      </c>
      <c r="E750" s="11">
        <f t="shared" si="70"/>
        <v>468</v>
      </c>
      <c r="F750" s="35"/>
      <c r="G750" s="47">
        <f t="shared" si="71"/>
        <v>4068</v>
      </c>
    </row>
    <row r="751" spans="3:7" x14ac:dyDescent="0.2">
      <c r="C751" s="10" t="s">
        <v>685</v>
      </c>
      <c r="D751" s="34">
        <v>3600</v>
      </c>
      <c r="E751" s="11">
        <f t="shared" si="70"/>
        <v>468</v>
      </c>
      <c r="F751" s="35"/>
      <c r="G751" s="47">
        <f t="shared" si="71"/>
        <v>4068</v>
      </c>
    </row>
    <row r="752" spans="3:7" x14ac:dyDescent="0.2">
      <c r="C752" s="10" t="s">
        <v>686</v>
      </c>
      <c r="D752" s="34">
        <v>3600</v>
      </c>
      <c r="E752" s="11">
        <f t="shared" si="70"/>
        <v>468</v>
      </c>
      <c r="F752" s="35"/>
      <c r="G752" s="47">
        <f t="shared" si="71"/>
        <v>4068</v>
      </c>
    </row>
    <row r="753" spans="3:7" x14ac:dyDescent="0.2">
      <c r="C753" s="10" t="s">
        <v>823</v>
      </c>
      <c r="D753" s="34">
        <v>1325</v>
      </c>
      <c r="E753" s="11">
        <f t="shared" si="70"/>
        <v>172.25</v>
      </c>
      <c r="F753" s="35"/>
      <c r="G753" s="47">
        <f>+D753+E753</f>
        <v>1497.25</v>
      </c>
    </row>
    <row r="754" spans="3:7" x14ac:dyDescent="0.2">
      <c r="C754" s="10" t="s">
        <v>824</v>
      </c>
      <c r="D754" s="34">
        <v>1325</v>
      </c>
      <c r="E754" s="11">
        <f t="shared" si="70"/>
        <v>172.25</v>
      </c>
      <c r="F754" s="35">
        <f>+E755*$F$12</f>
        <v>17.225000000000001</v>
      </c>
      <c r="G754" s="47">
        <f t="shared" si="71"/>
        <v>1497.25</v>
      </c>
    </row>
    <row r="755" spans="3:7" x14ac:dyDescent="0.2">
      <c r="C755" s="10" t="s">
        <v>825</v>
      </c>
      <c r="D755" s="34">
        <v>1325</v>
      </c>
      <c r="E755" s="11">
        <f t="shared" si="70"/>
        <v>172.25</v>
      </c>
      <c r="F755" s="35">
        <f>+E756*$F$12</f>
        <v>53.495000000000005</v>
      </c>
      <c r="G755" s="47">
        <f t="shared" si="71"/>
        <v>1497.25</v>
      </c>
    </row>
    <row r="756" spans="3:7" x14ac:dyDescent="0.2">
      <c r="C756" s="10" t="s">
        <v>408</v>
      </c>
      <c r="D756" s="34">
        <v>4115</v>
      </c>
      <c r="E756" s="11">
        <f t="shared" si="70"/>
        <v>534.95000000000005</v>
      </c>
      <c r="F756" s="35" t="e">
        <f>+#REF!*$F$12</f>
        <v>#REF!</v>
      </c>
      <c r="G756" s="47">
        <f t="shared" si="71"/>
        <v>4649.95</v>
      </c>
    </row>
    <row r="757" spans="3:7" x14ac:dyDescent="0.2">
      <c r="C757" s="10" t="s">
        <v>568</v>
      </c>
      <c r="D757" s="34">
        <v>8255</v>
      </c>
      <c r="E757" s="11">
        <f t="shared" si="70"/>
        <v>1073.1500000000001</v>
      </c>
      <c r="F757" s="35" t="e">
        <f>+#REF!*$F$12</f>
        <v>#REF!</v>
      </c>
      <c r="G757" s="47">
        <f t="shared" si="71"/>
        <v>9328.15</v>
      </c>
    </row>
    <row r="758" spans="3:7" x14ac:dyDescent="0.2">
      <c r="C758" s="10" t="s">
        <v>479</v>
      </c>
      <c r="D758" s="34">
        <v>19175</v>
      </c>
      <c r="E758" s="11">
        <f t="shared" si="70"/>
        <v>2492.75</v>
      </c>
      <c r="F758" s="35"/>
      <c r="G758" s="47">
        <f t="shared" si="71"/>
        <v>21667.75</v>
      </c>
    </row>
    <row r="759" spans="3:7" x14ac:dyDescent="0.2">
      <c r="C759" s="10" t="s">
        <v>409</v>
      </c>
      <c r="D759" s="43">
        <v>3700</v>
      </c>
      <c r="E759" s="11">
        <f t="shared" si="70"/>
        <v>481</v>
      </c>
      <c r="F759" s="36">
        <f>+E761*$F$12</f>
        <v>0</v>
      </c>
      <c r="G759" s="13">
        <f t="shared" si="71"/>
        <v>4181</v>
      </c>
    </row>
    <row r="760" spans="3:7" x14ac:dyDescent="0.2">
      <c r="C760" s="10" t="s">
        <v>480</v>
      </c>
      <c r="D760" s="43">
        <v>25815</v>
      </c>
      <c r="E760" s="11">
        <f t="shared" si="70"/>
        <v>3355.9500000000003</v>
      </c>
      <c r="F760" s="36"/>
      <c r="G760" s="13">
        <f t="shared" si="71"/>
        <v>29170.95</v>
      </c>
    </row>
    <row r="761" spans="3:7" ht="11.25" customHeight="1" x14ac:dyDescent="0.2">
      <c r="C761" s="10"/>
      <c r="D761" s="45" t="s">
        <v>3</v>
      </c>
      <c r="E761" s="11"/>
      <c r="F761" s="36" t="e">
        <f>+#REF!*$F$12</f>
        <v>#REF!</v>
      </c>
      <c r="G761" s="13"/>
    </row>
    <row r="762" spans="3:7" x14ac:dyDescent="0.2">
      <c r="C762" s="26" t="s">
        <v>14</v>
      </c>
      <c r="D762" s="54"/>
      <c r="E762" s="11"/>
      <c r="F762" s="35">
        <f t="shared" ref="F762:F781" si="74">+E763*$F$12</f>
        <v>12.415000000000001</v>
      </c>
      <c r="G762" s="59"/>
    </row>
    <row r="763" spans="3:7" x14ac:dyDescent="0.2">
      <c r="C763" s="10" t="s">
        <v>2</v>
      </c>
      <c r="D763" s="34">
        <v>955</v>
      </c>
      <c r="E763" s="11">
        <f t="shared" si="70"/>
        <v>124.15</v>
      </c>
      <c r="F763" s="35">
        <f t="shared" si="74"/>
        <v>12.870000000000003</v>
      </c>
      <c r="G763" s="47">
        <f t="shared" si="71"/>
        <v>1079.1500000000001</v>
      </c>
    </row>
    <row r="764" spans="3:7" x14ac:dyDescent="0.2">
      <c r="C764" s="10" t="s">
        <v>410</v>
      </c>
      <c r="D764" s="34">
        <v>990</v>
      </c>
      <c r="E764" s="11">
        <f t="shared" si="70"/>
        <v>128.70000000000002</v>
      </c>
      <c r="F764" s="35">
        <f t="shared" si="74"/>
        <v>12.415000000000001</v>
      </c>
      <c r="G764" s="47">
        <f t="shared" si="71"/>
        <v>1118.7</v>
      </c>
    </row>
    <row r="765" spans="3:7" x14ac:dyDescent="0.2">
      <c r="C765" s="10" t="s">
        <v>411</v>
      </c>
      <c r="D765" s="34">
        <v>955</v>
      </c>
      <c r="E765" s="11">
        <f t="shared" si="70"/>
        <v>124.15</v>
      </c>
      <c r="F765" s="35" t="e">
        <f>+#REF!*$F$12</f>
        <v>#REF!</v>
      </c>
      <c r="G765" s="47">
        <f t="shared" si="71"/>
        <v>1079.1500000000001</v>
      </c>
    </row>
    <row r="766" spans="3:7" x14ac:dyDescent="0.2">
      <c r="C766" s="10" t="s">
        <v>412</v>
      </c>
      <c r="D766" s="34">
        <v>965</v>
      </c>
      <c r="E766" s="11">
        <f t="shared" si="70"/>
        <v>125.45</v>
      </c>
      <c r="F766" s="35"/>
      <c r="G766" s="47">
        <f t="shared" si="71"/>
        <v>1090.45</v>
      </c>
    </row>
    <row r="767" spans="3:7" x14ac:dyDescent="0.2">
      <c r="C767" s="10" t="s">
        <v>413</v>
      </c>
      <c r="D767" s="34">
        <v>955</v>
      </c>
      <c r="E767" s="11">
        <f t="shared" si="70"/>
        <v>124.15</v>
      </c>
      <c r="F767" s="35"/>
      <c r="G767" s="47">
        <f t="shared" si="71"/>
        <v>1079.1500000000001</v>
      </c>
    </row>
    <row r="768" spans="3:7" x14ac:dyDescent="0.2">
      <c r="C768" s="10" t="s">
        <v>744</v>
      </c>
      <c r="D768" s="34">
        <v>1150</v>
      </c>
      <c r="E768" s="11">
        <f t="shared" si="70"/>
        <v>149.5</v>
      </c>
      <c r="F768" s="35" t="e">
        <f>+#REF!*$F$12</f>
        <v>#REF!</v>
      </c>
      <c r="G768" s="47">
        <f t="shared" si="71"/>
        <v>1299.5</v>
      </c>
    </row>
    <row r="769" spans="3:7" x14ac:dyDescent="0.2">
      <c r="C769" s="18" t="s">
        <v>514</v>
      </c>
      <c r="D769" s="34">
        <v>980</v>
      </c>
      <c r="E769" s="11">
        <f t="shared" si="70"/>
        <v>127.4</v>
      </c>
      <c r="F769" s="35"/>
      <c r="G769" s="47">
        <f t="shared" si="71"/>
        <v>1107.4000000000001</v>
      </c>
    </row>
    <row r="770" spans="3:7" x14ac:dyDescent="0.2">
      <c r="C770" s="10" t="s">
        <v>414</v>
      </c>
      <c r="D770" s="34">
        <v>930</v>
      </c>
      <c r="E770" s="11">
        <f t="shared" si="70"/>
        <v>120.9</v>
      </c>
      <c r="F770" s="35" t="e">
        <f>+#REF!*$F$12</f>
        <v>#REF!</v>
      </c>
      <c r="G770" s="47">
        <f t="shared" si="71"/>
        <v>1050.9000000000001</v>
      </c>
    </row>
    <row r="771" spans="3:7" x14ac:dyDescent="0.2">
      <c r="C771" s="10" t="s">
        <v>745</v>
      </c>
      <c r="D771" s="34">
        <v>955</v>
      </c>
      <c r="E771" s="11">
        <f t="shared" si="70"/>
        <v>124.15</v>
      </c>
      <c r="F771" s="35"/>
      <c r="G771" s="47">
        <f t="shared" si="71"/>
        <v>1079.1500000000001</v>
      </c>
    </row>
    <row r="772" spans="3:7" x14ac:dyDescent="0.2">
      <c r="C772" s="10" t="s">
        <v>415</v>
      </c>
      <c r="D772" s="34">
        <v>1915</v>
      </c>
      <c r="E772" s="11">
        <f t="shared" si="70"/>
        <v>248.95000000000002</v>
      </c>
      <c r="F772" s="35"/>
      <c r="G772" s="47">
        <f t="shared" si="71"/>
        <v>2163.9499999999998</v>
      </c>
    </row>
    <row r="773" spans="3:7" x14ac:dyDescent="0.2">
      <c r="C773" s="10" t="s">
        <v>498</v>
      </c>
      <c r="D773" s="34">
        <v>955</v>
      </c>
      <c r="E773" s="11">
        <f t="shared" si="70"/>
        <v>124.15</v>
      </c>
      <c r="F773" s="35"/>
      <c r="G773" s="47">
        <f t="shared" si="71"/>
        <v>1079.1500000000001</v>
      </c>
    </row>
    <row r="774" spans="3:7" x14ac:dyDescent="0.2">
      <c r="C774" s="10" t="s">
        <v>746</v>
      </c>
      <c r="D774" s="34">
        <v>955</v>
      </c>
      <c r="E774" s="11">
        <f t="shared" si="70"/>
        <v>124.15</v>
      </c>
      <c r="F774" s="35"/>
      <c r="G774" s="47">
        <f t="shared" si="71"/>
        <v>1079.1500000000001</v>
      </c>
    </row>
    <row r="775" spans="3:7" x14ac:dyDescent="0.2">
      <c r="C775" s="10" t="s">
        <v>747</v>
      </c>
      <c r="D775" s="34">
        <v>955</v>
      </c>
      <c r="E775" s="11">
        <f t="shared" si="70"/>
        <v>124.15</v>
      </c>
      <c r="F775" s="35"/>
      <c r="G775" s="47">
        <f t="shared" si="71"/>
        <v>1079.1500000000001</v>
      </c>
    </row>
    <row r="776" spans="3:7" x14ac:dyDescent="0.2">
      <c r="C776" s="10" t="s">
        <v>748</v>
      </c>
      <c r="D776" s="34">
        <v>955</v>
      </c>
      <c r="E776" s="11">
        <f t="shared" si="70"/>
        <v>124.15</v>
      </c>
      <c r="F776" s="35"/>
      <c r="G776" s="47">
        <f t="shared" si="71"/>
        <v>1079.1500000000001</v>
      </c>
    </row>
    <row r="777" spans="3:7" x14ac:dyDescent="0.2">
      <c r="C777" s="10" t="s">
        <v>750</v>
      </c>
      <c r="D777" s="34">
        <v>955</v>
      </c>
      <c r="E777" s="11">
        <f t="shared" si="70"/>
        <v>124.15</v>
      </c>
      <c r="F777" s="35"/>
      <c r="G777" s="47">
        <f t="shared" si="71"/>
        <v>1079.1500000000001</v>
      </c>
    </row>
    <row r="778" spans="3:7" x14ac:dyDescent="0.2">
      <c r="C778" s="10" t="s">
        <v>749</v>
      </c>
      <c r="D778" s="34">
        <v>955</v>
      </c>
      <c r="E778" s="11">
        <f t="shared" si="70"/>
        <v>124.15</v>
      </c>
      <c r="F778" s="35">
        <f>+E781*$F$12</f>
        <v>14.105000000000002</v>
      </c>
      <c r="G778" s="47">
        <f t="shared" si="71"/>
        <v>1079.1500000000001</v>
      </c>
    </row>
    <row r="779" spans="3:7" x14ac:dyDescent="0.2">
      <c r="C779" s="10" t="s">
        <v>637</v>
      </c>
      <c r="D779" s="34">
        <v>1050</v>
      </c>
      <c r="E779" s="11">
        <f t="shared" si="70"/>
        <v>136.5</v>
      </c>
      <c r="F779" s="35"/>
      <c r="G779" s="47">
        <f t="shared" si="71"/>
        <v>1186.5</v>
      </c>
    </row>
    <row r="780" spans="3:7" x14ac:dyDescent="0.2">
      <c r="C780" s="10" t="s">
        <v>416</v>
      </c>
      <c r="D780" s="34">
        <v>1050</v>
      </c>
      <c r="E780" s="11">
        <f t="shared" si="70"/>
        <v>136.5</v>
      </c>
      <c r="F780" s="35"/>
      <c r="G780" s="47">
        <f t="shared" si="71"/>
        <v>1186.5</v>
      </c>
    </row>
    <row r="781" spans="3:7" x14ac:dyDescent="0.2">
      <c r="C781" s="10" t="s">
        <v>751</v>
      </c>
      <c r="D781" s="34">
        <v>1085</v>
      </c>
      <c r="E781" s="11">
        <f t="shared" si="70"/>
        <v>141.05000000000001</v>
      </c>
      <c r="F781" s="35">
        <f t="shared" si="74"/>
        <v>14.105000000000002</v>
      </c>
      <c r="G781" s="47">
        <f t="shared" si="71"/>
        <v>1226.05</v>
      </c>
    </row>
    <row r="782" spans="3:7" x14ac:dyDescent="0.2">
      <c r="C782" s="10" t="s">
        <v>516</v>
      </c>
      <c r="D782" s="34">
        <v>1085</v>
      </c>
      <c r="E782" s="11">
        <f t="shared" si="70"/>
        <v>141.05000000000001</v>
      </c>
      <c r="F782" s="35">
        <v>0</v>
      </c>
      <c r="G782" s="47">
        <f t="shared" si="71"/>
        <v>1226.05</v>
      </c>
    </row>
    <row r="783" spans="3:7" x14ac:dyDescent="0.2">
      <c r="C783" s="10" t="s">
        <v>417</v>
      </c>
      <c r="D783" s="34">
        <v>1200</v>
      </c>
      <c r="E783" s="11">
        <f t="shared" ref="E783:E843" si="75">+D783*13%</f>
        <v>156</v>
      </c>
      <c r="F783" s="35">
        <f t="shared" ref="F783:F793" si="76">+E784*$F$12</f>
        <v>11.18</v>
      </c>
      <c r="G783" s="47">
        <f t="shared" ref="G783:G843" si="77">+D783+E783</f>
        <v>1356</v>
      </c>
    </row>
    <row r="784" spans="3:7" x14ac:dyDescent="0.2">
      <c r="C784" s="53" t="s">
        <v>418</v>
      </c>
      <c r="D784" s="34">
        <v>860</v>
      </c>
      <c r="E784" s="11">
        <f t="shared" si="75"/>
        <v>111.8</v>
      </c>
      <c r="F784" s="35">
        <f t="shared" si="76"/>
        <v>11.18</v>
      </c>
      <c r="G784" s="47">
        <f t="shared" si="77"/>
        <v>971.8</v>
      </c>
    </row>
    <row r="785" spans="3:7" x14ac:dyDescent="0.2">
      <c r="C785" s="10" t="s">
        <v>419</v>
      </c>
      <c r="D785" s="34">
        <v>860</v>
      </c>
      <c r="E785" s="11">
        <f t="shared" si="75"/>
        <v>111.8</v>
      </c>
      <c r="F785" s="35" t="e">
        <f>+#REF!*$F$12</f>
        <v>#REF!</v>
      </c>
      <c r="G785" s="47">
        <f t="shared" si="77"/>
        <v>971.8</v>
      </c>
    </row>
    <row r="786" spans="3:7" x14ac:dyDescent="0.2">
      <c r="C786" s="10" t="s">
        <v>420</v>
      </c>
      <c r="D786" s="34">
        <v>860</v>
      </c>
      <c r="E786" s="11">
        <f t="shared" si="75"/>
        <v>111.8</v>
      </c>
      <c r="F786" s="35">
        <f t="shared" si="76"/>
        <v>11.18</v>
      </c>
      <c r="G786" s="47">
        <f t="shared" si="77"/>
        <v>971.8</v>
      </c>
    </row>
    <row r="787" spans="3:7" x14ac:dyDescent="0.2">
      <c r="C787" s="10" t="s">
        <v>421</v>
      </c>
      <c r="D787" s="34">
        <v>860</v>
      </c>
      <c r="E787" s="11">
        <f t="shared" si="75"/>
        <v>111.8</v>
      </c>
      <c r="F787" s="35" t="e">
        <f>+#REF!*$F$12</f>
        <v>#REF!</v>
      </c>
      <c r="G787" s="47">
        <f t="shared" si="77"/>
        <v>971.8</v>
      </c>
    </row>
    <row r="788" spans="3:7" x14ac:dyDescent="0.2">
      <c r="C788" s="10" t="s">
        <v>422</v>
      </c>
      <c r="D788" s="34">
        <v>860</v>
      </c>
      <c r="E788" s="11">
        <f t="shared" si="75"/>
        <v>111.8</v>
      </c>
      <c r="F788" s="35">
        <f t="shared" si="76"/>
        <v>11.18</v>
      </c>
      <c r="G788" s="47">
        <f t="shared" si="77"/>
        <v>971.8</v>
      </c>
    </row>
    <row r="789" spans="3:7" x14ac:dyDescent="0.2">
      <c r="C789" s="10" t="s">
        <v>423</v>
      </c>
      <c r="D789" s="34">
        <v>860</v>
      </c>
      <c r="E789" s="11">
        <f t="shared" si="75"/>
        <v>111.8</v>
      </c>
      <c r="F789" s="35">
        <f t="shared" si="76"/>
        <v>15.600000000000001</v>
      </c>
      <c r="G789" s="47">
        <f t="shared" si="77"/>
        <v>971.8</v>
      </c>
    </row>
    <row r="790" spans="3:7" x14ac:dyDescent="0.2">
      <c r="C790" s="10" t="s">
        <v>424</v>
      </c>
      <c r="D790" s="34">
        <v>1200</v>
      </c>
      <c r="E790" s="11">
        <f t="shared" si="75"/>
        <v>156</v>
      </c>
      <c r="F790" s="35">
        <f t="shared" si="76"/>
        <v>15.600000000000001</v>
      </c>
      <c r="G790" s="47">
        <f t="shared" si="77"/>
        <v>1356</v>
      </c>
    </row>
    <row r="791" spans="3:7" x14ac:dyDescent="0.2">
      <c r="C791" s="10" t="s">
        <v>425</v>
      </c>
      <c r="D791" s="34">
        <v>1200</v>
      </c>
      <c r="E791" s="11">
        <f t="shared" si="75"/>
        <v>156</v>
      </c>
      <c r="F791" s="35" t="e">
        <f>+#REF!*$F$12</f>
        <v>#REF!</v>
      </c>
      <c r="G791" s="47">
        <f t="shared" si="77"/>
        <v>1356</v>
      </c>
    </row>
    <row r="792" spans="3:7" x14ac:dyDescent="0.2">
      <c r="C792" s="10" t="s">
        <v>426</v>
      </c>
      <c r="D792" s="34">
        <v>980</v>
      </c>
      <c r="E792" s="11">
        <f t="shared" si="75"/>
        <v>127.4</v>
      </c>
      <c r="F792" s="35">
        <f t="shared" si="76"/>
        <v>11.440000000000001</v>
      </c>
      <c r="G792" s="47">
        <f t="shared" si="77"/>
        <v>1107.4000000000001</v>
      </c>
    </row>
    <row r="793" spans="3:7" x14ac:dyDescent="0.2">
      <c r="C793" s="10" t="s">
        <v>427</v>
      </c>
      <c r="D793" s="34">
        <v>880</v>
      </c>
      <c r="E793" s="11">
        <f t="shared" si="75"/>
        <v>114.4</v>
      </c>
      <c r="F793" s="35">
        <f t="shared" si="76"/>
        <v>11.18</v>
      </c>
      <c r="G793" s="47">
        <f t="shared" si="77"/>
        <v>994.4</v>
      </c>
    </row>
    <row r="794" spans="3:7" x14ac:dyDescent="0.2">
      <c r="C794" s="10" t="s">
        <v>428</v>
      </c>
      <c r="D794" s="34">
        <v>860</v>
      </c>
      <c r="E794" s="11">
        <f t="shared" si="75"/>
        <v>111.8</v>
      </c>
      <c r="F794" s="35"/>
      <c r="G794" s="47">
        <f t="shared" si="77"/>
        <v>971.8</v>
      </c>
    </row>
    <row r="795" spans="3:7" x14ac:dyDescent="0.2">
      <c r="C795" s="10" t="s">
        <v>429</v>
      </c>
      <c r="D795" s="34">
        <v>860</v>
      </c>
      <c r="E795" s="11">
        <f t="shared" si="75"/>
        <v>111.8</v>
      </c>
      <c r="F795" s="35"/>
      <c r="G795" s="47">
        <f t="shared" si="77"/>
        <v>971.8</v>
      </c>
    </row>
    <row r="796" spans="3:7" x14ac:dyDescent="0.2">
      <c r="C796" s="10" t="s">
        <v>430</v>
      </c>
      <c r="D796" s="43">
        <v>1025</v>
      </c>
      <c r="E796" s="11">
        <f t="shared" si="75"/>
        <v>133.25</v>
      </c>
      <c r="F796" s="36">
        <f>+E797*$F$12</f>
        <v>0</v>
      </c>
      <c r="G796" s="47">
        <v>1158.25</v>
      </c>
    </row>
    <row r="797" spans="3:7" x14ac:dyDescent="0.2">
      <c r="C797" s="10"/>
      <c r="D797" s="45" t="s">
        <v>3</v>
      </c>
      <c r="E797" s="11"/>
      <c r="F797" s="36">
        <v>0</v>
      </c>
      <c r="G797" s="13"/>
    </row>
    <row r="798" spans="3:7" x14ac:dyDescent="0.2">
      <c r="C798" s="26" t="s">
        <v>15</v>
      </c>
      <c r="D798" s="54"/>
      <c r="E798" s="11"/>
      <c r="F798" s="36">
        <v>0</v>
      </c>
      <c r="G798" s="59"/>
    </row>
    <row r="799" spans="3:7" x14ac:dyDescent="0.2">
      <c r="C799" s="10" t="s">
        <v>2</v>
      </c>
      <c r="D799" s="54"/>
      <c r="E799" s="11"/>
      <c r="F799" s="36">
        <v>0</v>
      </c>
      <c r="G799" s="59"/>
    </row>
    <row r="800" spans="3:7" x14ac:dyDescent="0.2">
      <c r="C800" s="10" t="s">
        <v>431</v>
      </c>
      <c r="D800" s="34">
        <v>28105</v>
      </c>
      <c r="E800" s="11">
        <v>0</v>
      </c>
      <c r="F800" s="36"/>
      <c r="G800" s="47">
        <f t="shared" si="77"/>
        <v>28105</v>
      </c>
    </row>
    <row r="801" spans="3:7" x14ac:dyDescent="0.2">
      <c r="C801" s="10" t="s">
        <v>432</v>
      </c>
      <c r="D801" s="34">
        <v>28105</v>
      </c>
      <c r="E801" s="11">
        <v>0</v>
      </c>
      <c r="F801" s="36"/>
      <c r="G801" s="47">
        <f t="shared" si="77"/>
        <v>28105</v>
      </c>
    </row>
    <row r="802" spans="3:7" x14ac:dyDescent="0.2">
      <c r="C802" s="10" t="s">
        <v>537</v>
      </c>
      <c r="D802" s="34">
        <v>26015</v>
      </c>
      <c r="E802" s="11">
        <v>0</v>
      </c>
      <c r="F802" s="36"/>
      <c r="G802" s="47">
        <f t="shared" si="77"/>
        <v>26015</v>
      </c>
    </row>
    <row r="803" spans="3:7" x14ac:dyDescent="0.2">
      <c r="C803" s="10" t="s">
        <v>499</v>
      </c>
      <c r="D803" s="34">
        <v>28105</v>
      </c>
      <c r="E803" s="11">
        <v>0</v>
      </c>
      <c r="F803" s="36"/>
      <c r="G803" s="47">
        <f t="shared" si="77"/>
        <v>28105</v>
      </c>
    </row>
    <row r="804" spans="3:7" x14ac:dyDescent="0.2">
      <c r="C804" s="10" t="s">
        <v>688</v>
      </c>
      <c r="D804" s="34">
        <v>23000</v>
      </c>
      <c r="E804" s="11">
        <v>0</v>
      </c>
      <c r="F804" s="36">
        <v>0</v>
      </c>
      <c r="G804" s="47">
        <f t="shared" si="77"/>
        <v>23000</v>
      </c>
    </row>
    <row r="805" spans="3:7" x14ac:dyDescent="0.2">
      <c r="C805" s="10" t="s">
        <v>689</v>
      </c>
      <c r="D805" s="34">
        <v>22000</v>
      </c>
      <c r="E805" s="11">
        <v>0</v>
      </c>
      <c r="F805" s="36">
        <v>0</v>
      </c>
      <c r="G805" s="47">
        <f t="shared" si="77"/>
        <v>22000</v>
      </c>
    </row>
    <row r="806" spans="3:7" x14ac:dyDescent="0.2">
      <c r="C806" s="10" t="s">
        <v>636</v>
      </c>
      <c r="D806" s="34">
        <v>23000</v>
      </c>
      <c r="E806" s="11"/>
      <c r="F806" s="36">
        <f>+E808*$F$12</f>
        <v>0</v>
      </c>
      <c r="G806" s="13"/>
    </row>
    <row r="807" spans="3:7" x14ac:dyDescent="0.2">
      <c r="C807" s="10" t="s">
        <v>835</v>
      </c>
      <c r="D807" s="34">
        <v>23000</v>
      </c>
      <c r="E807" s="11"/>
      <c r="F807" s="36"/>
      <c r="G807" s="13"/>
    </row>
    <row r="808" spans="3:7" x14ac:dyDescent="0.2">
      <c r="C808" s="10"/>
      <c r="D808" s="45" t="s">
        <v>3</v>
      </c>
      <c r="E808" s="11"/>
      <c r="F808" s="36" t="e">
        <f>+#REF!*$F$12</f>
        <v>#REF!</v>
      </c>
      <c r="G808" s="13"/>
    </row>
    <row r="809" spans="3:7" x14ac:dyDescent="0.2">
      <c r="C809" s="26" t="s">
        <v>16</v>
      </c>
      <c r="D809" s="54"/>
      <c r="E809" s="11"/>
      <c r="F809" s="35">
        <f t="shared" ref="F809:F814" si="78">+E810*$F$12</f>
        <v>22.815000000000001</v>
      </c>
      <c r="G809" s="59"/>
    </row>
    <row r="810" spans="3:7" x14ac:dyDescent="0.2">
      <c r="C810" s="10" t="s">
        <v>2</v>
      </c>
      <c r="D810" s="34">
        <v>1755</v>
      </c>
      <c r="E810" s="11">
        <f t="shared" si="75"/>
        <v>228.15</v>
      </c>
      <c r="F810" s="35"/>
      <c r="G810" s="47">
        <f t="shared" si="77"/>
        <v>1983.15</v>
      </c>
    </row>
    <row r="811" spans="3:7" x14ac:dyDescent="0.2">
      <c r="C811" s="10" t="s">
        <v>433</v>
      </c>
      <c r="D811" s="34">
        <v>2655</v>
      </c>
      <c r="E811" s="11">
        <f t="shared" si="75"/>
        <v>345.15000000000003</v>
      </c>
      <c r="F811" s="35"/>
      <c r="G811" s="47">
        <f t="shared" si="77"/>
        <v>3000.15</v>
      </c>
    </row>
    <row r="812" spans="3:7" x14ac:dyDescent="0.2">
      <c r="C812" s="10" t="s">
        <v>434</v>
      </c>
      <c r="D812" s="34">
        <v>2655</v>
      </c>
      <c r="E812" s="11">
        <f t="shared" si="75"/>
        <v>345.15000000000003</v>
      </c>
      <c r="F812" s="35">
        <f t="shared" si="78"/>
        <v>13.585000000000001</v>
      </c>
      <c r="G812" s="47">
        <f t="shared" si="77"/>
        <v>3000.15</v>
      </c>
    </row>
    <row r="813" spans="3:7" x14ac:dyDescent="0.2">
      <c r="C813" s="10" t="s">
        <v>435</v>
      </c>
      <c r="D813" s="34">
        <v>1045</v>
      </c>
      <c r="E813" s="11">
        <f t="shared" si="75"/>
        <v>135.85</v>
      </c>
      <c r="F813" s="35">
        <f>+E814*$F$12</f>
        <v>27.950000000000003</v>
      </c>
      <c r="G813" s="47">
        <f t="shared" si="77"/>
        <v>1180.8499999999999</v>
      </c>
    </row>
    <row r="814" spans="3:7" x14ac:dyDescent="0.2">
      <c r="C814" s="10" t="s">
        <v>539</v>
      </c>
      <c r="D814" s="34">
        <v>2150</v>
      </c>
      <c r="E814" s="11">
        <f t="shared" si="75"/>
        <v>279.5</v>
      </c>
      <c r="F814" s="35">
        <f t="shared" si="78"/>
        <v>13.585000000000001</v>
      </c>
      <c r="G814" s="47">
        <f t="shared" si="77"/>
        <v>2429.5</v>
      </c>
    </row>
    <row r="815" spans="3:7" x14ac:dyDescent="0.2">
      <c r="C815" s="10" t="s">
        <v>436</v>
      </c>
      <c r="D815" s="34">
        <v>1045</v>
      </c>
      <c r="E815" s="11">
        <f t="shared" si="75"/>
        <v>135.85</v>
      </c>
      <c r="F815" s="35">
        <f t="shared" ref="F815:F845" si="79">+E816*$F$12</f>
        <v>46.865000000000009</v>
      </c>
      <c r="G815" s="47">
        <f t="shared" si="77"/>
        <v>1180.8499999999999</v>
      </c>
    </row>
    <row r="816" spans="3:7" x14ac:dyDescent="0.2">
      <c r="C816" s="10" t="s">
        <v>437</v>
      </c>
      <c r="D816" s="34">
        <v>3605</v>
      </c>
      <c r="E816" s="11">
        <f t="shared" si="75"/>
        <v>468.65000000000003</v>
      </c>
      <c r="F816" s="35">
        <f t="shared" si="79"/>
        <v>7.5400000000000009</v>
      </c>
      <c r="G816" s="47">
        <f t="shared" si="77"/>
        <v>4073.65</v>
      </c>
    </row>
    <row r="817" spans="3:7" x14ac:dyDescent="0.2">
      <c r="C817" s="10" t="s">
        <v>752</v>
      </c>
      <c r="D817" s="34">
        <v>580</v>
      </c>
      <c r="E817" s="11">
        <f t="shared" si="75"/>
        <v>75.400000000000006</v>
      </c>
      <c r="F817" s="35">
        <f t="shared" si="79"/>
        <v>39.650000000000006</v>
      </c>
      <c r="G817" s="47">
        <f t="shared" si="77"/>
        <v>655.4</v>
      </c>
    </row>
    <row r="818" spans="3:7" x14ac:dyDescent="0.2">
      <c r="C818" s="10" t="s">
        <v>439</v>
      </c>
      <c r="D818" s="34">
        <v>3050</v>
      </c>
      <c r="E818" s="11">
        <f t="shared" si="75"/>
        <v>396.5</v>
      </c>
      <c r="F818" s="35">
        <f t="shared" si="79"/>
        <v>39.650000000000006</v>
      </c>
      <c r="G818" s="47">
        <f t="shared" si="77"/>
        <v>3446.5</v>
      </c>
    </row>
    <row r="819" spans="3:7" x14ac:dyDescent="0.2">
      <c r="C819" s="10" t="s">
        <v>438</v>
      </c>
      <c r="D819" s="34">
        <v>3050</v>
      </c>
      <c r="E819" s="11">
        <f t="shared" si="75"/>
        <v>396.5</v>
      </c>
      <c r="F819" s="35">
        <f t="shared" si="79"/>
        <v>39.650000000000006</v>
      </c>
      <c r="G819" s="47">
        <f t="shared" si="77"/>
        <v>3446.5</v>
      </c>
    </row>
    <row r="820" spans="3:7" x14ac:dyDescent="0.2">
      <c r="C820" s="10" t="s">
        <v>440</v>
      </c>
      <c r="D820" s="34">
        <v>3050</v>
      </c>
      <c r="E820" s="11">
        <f t="shared" si="75"/>
        <v>396.5</v>
      </c>
      <c r="F820" s="35">
        <f t="shared" si="79"/>
        <v>39.650000000000006</v>
      </c>
      <c r="G820" s="47">
        <f t="shared" si="77"/>
        <v>3446.5</v>
      </c>
    </row>
    <row r="821" spans="3:7" x14ac:dyDescent="0.2">
      <c r="C821" s="10" t="s">
        <v>441</v>
      </c>
      <c r="D821" s="34">
        <v>3050</v>
      </c>
      <c r="E821" s="11">
        <f t="shared" si="75"/>
        <v>396.5</v>
      </c>
      <c r="F821" s="35" t="e">
        <f>+#REF!*$F$12</f>
        <v>#REF!</v>
      </c>
      <c r="G821" s="47">
        <f t="shared" si="77"/>
        <v>3446.5</v>
      </c>
    </row>
    <row r="822" spans="3:7" x14ac:dyDescent="0.2">
      <c r="C822" s="10" t="s">
        <v>443</v>
      </c>
      <c r="D822" s="34">
        <v>3650</v>
      </c>
      <c r="E822" s="11">
        <f t="shared" si="75"/>
        <v>474.5</v>
      </c>
      <c r="F822" s="35">
        <f>+E824*$F$12</f>
        <v>16.770000000000003</v>
      </c>
      <c r="G822" s="47">
        <f t="shared" si="77"/>
        <v>4124.5</v>
      </c>
    </row>
    <row r="823" spans="3:7" x14ac:dyDescent="0.2">
      <c r="C823" s="10" t="s">
        <v>442</v>
      </c>
      <c r="D823" s="34">
        <v>5500</v>
      </c>
      <c r="E823" s="11">
        <f t="shared" si="75"/>
        <v>715</v>
      </c>
      <c r="F823" s="35"/>
      <c r="G823" s="47">
        <f t="shared" si="77"/>
        <v>6215</v>
      </c>
    </row>
    <row r="824" spans="3:7" x14ac:dyDescent="0.2">
      <c r="C824" s="10" t="s">
        <v>446</v>
      </c>
      <c r="D824" s="34">
        <v>1290</v>
      </c>
      <c r="E824" s="11">
        <f t="shared" si="75"/>
        <v>167.70000000000002</v>
      </c>
      <c r="F824" s="35" t="e">
        <f>+#REF!*$F$12</f>
        <v>#REF!</v>
      </c>
      <c r="G824" s="47">
        <f t="shared" si="77"/>
        <v>1457.7</v>
      </c>
    </row>
    <row r="825" spans="3:7" x14ac:dyDescent="0.2">
      <c r="C825" s="10" t="s">
        <v>687</v>
      </c>
      <c r="D825" s="34">
        <v>1345</v>
      </c>
      <c r="E825" s="11">
        <f t="shared" si="75"/>
        <v>174.85</v>
      </c>
      <c r="F825" s="35"/>
      <c r="G825" s="47">
        <f t="shared" si="77"/>
        <v>1519.85</v>
      </c>
    </row>
    <row r="826" spans="3:7" x14ac:dyDescent="0.2">
      <c r="C826" s="10" t="s">
        <v>445</v>
      </c>
      <c r="D826" s="34">
        <v>3505</v>
      </c>
      <c r="E826" s="11">
        <f t="shared" si="75"/>
        <v>455.65000000000003</v>
      </c>
      <c r="F826" s="35"/>
      <c r="G826" s="47">
        <f t="shared" si="77"/>
        <v>3960.65</v>
      </c>
    </row>
    <row r="827" spans="3:7" x14ac:dyDescent="0.2">
      <c r="C827" s="10" t="s">
        <v>599</v>
      </c>
      <c r="D827" s="34">
        <v>6250</v>
      </c>
      <c r="E827" s="11">
        <f t="shared" si="75"/>
        <v>812.5</v>
      </c>
      <c r="F827" s="41"/>
      <c r="G827" s="47">
        <f t="shared" si="77"/>
        <v>7062.5</v>
      </c>
    </row>
    <row r="828" spans="3:7" x14ac:dyDescent="0.2">
      <c r="C828" s="10" t="s">
        <v>826</v>
      </c>
      <c r="D828" s="34">
        <v>1770</v>
      </c>
      <c r="E828" s="11">
        <f t="shared" si="75"/>
        <v>230.1</v>
      </c>
      <c r="F828" s="35"/>
      <c r="G828" s="47">
        <f t="shared" si="77"/>
        <v>2000.1</v>
      </c>
    </row>
    <row r="829" spans="3:7" x14ac:dyDescent="0.2">
      <c r="C829" s="26" t="s">
        <v>598</v>
      </c>
      <c r="D829" s="54"/>
      <c r="E829" s="11"/>
      <c r="F829" s="35"/>
      <c r="G829" s="47"/>
    </row>
    <row r="830" spans="3:7" x14ac:dyDescent="0.2">
      <c r="C830" s="10" t="s">
        <v>444</v>
      </c>
      <c r="D830" s="34">
        <v>2815</v>
      </c>
      <c r="E830" s="11"/>
      <c r="F830" s="35"/>
      <c r="G830" s="47">
        <v>3180.95</v>
      </c>
    </row>
    <row r="831" spans="3:7" x14ac:dyDescent="0.2">
      <c r="C831" s="10" t="s">
        <v>521</v>
      </c>
      <c r="D831" s="43">
        <v>2815</v>
      </c>
      <c r="E831" s="11"/>
      <c r="F831" s="42"/>
      <c r="G831" s="47">
        <v>3180.95</v>
      </c>
    </row>
    <row r="832" spans="3:7" x14ac:dyDescent="0.2">
      <c r="C832" s="10" t="s">
        <v>753</v>
      </c>
      <c r="D832" s="43">
        <v>2590</v>
      </c>
      <c r="E832" s="11"/>
      <c r="F832" s="42"/>
      <c r="G832" s="47">
        <v>2926.7</v>
      </c>
    </row>
    <row r="833" spans="3:9" x14ac:dyDescent="0.2">
      <c r="C833" s="10"/>
      <c r="D833" s="11" t="s">
        <v>3</v>
      </c>
      <c r="E833" s="11"/>
      <c r="F833" s="42"/>
      <c r="G833" s="13"/>
    </row>
    <row r="834" spans="3:9" x14ac:dyDescent="0.2">
      <c r="C834" s="26" t="s">
        <v>17</v>
      </c>
      <c r="D834" s="54"/>
      <c r="E834" s="11"/>
      <c r="F834" s="37"/>
      <c r="G834" s="59"/>
    </row>
    <row r="835" spans="3:9" x14ac:dyDescent="0.2">
      <c r="C835" s="10" t="s">
        <v>2</v>
      </c>
      <c r="D835" s="34">
        <v>1150</v>
      </c>
      <c r="E835" s="11">
        <f>+D835*13%</f>
        <v>149.5</v>
      </c>
      <c r="F835" s="37"/>
      <c r="G835" s="47">
        <f t="shared" si="77"/>
        <v>1299.5</v>
      </c>
    </row>
    <row r="836" spans="3:9" x14ac:dyDescent="0.2">
      <c r="C836" s="10" t="s">
        <v>447</v>
      </c>
      <c r="D836" s="34">
        <v>1150</v>
      </c>
      <c r="E836" s="11">
        <f t="shared" si="75"/>
        <v>149.5</v>
      </c>
      <c r="F836" s="37"/>
      <c r="G836" s="47">
        <f t="shared" si="77"/>
        <v>1299.5</v>
      </c>
    </row>
    <row r="837" spans="3:9" x14ac:dyDescent="0.2">
      <c r="C837" s="10" t="s">
        <v>448</v>
      </c>
      <c r="D837" s="34">
        <v>1150</v>
      </c>
      <c r="E837" s="11">
        <f t="shared" si="75"/>
        <v>149.5</v>
      </c>
      <c r="F837" s="37"/>
      <c r="G837" s="47">
        <f t="shared" si="77"/>
        <v>1299.5</v>
      </c>
    </row>
    <row r="838" spans="3:9" x14ac:dyDescent="0.2">
      <c r="C838" s="10" t="s">
        <v>450</v>
      </c>
      <c r="D838" s="34">
        <v>1150</v>
      </c>
      <c r="E838" s="11">
        <f t="shared" si="75"/>
        <v>149.5</v>
      </c>
      <c r="F838" s="37"/>
      <c r="G838" s="47">
        <f t="shared" si="77"/>
        <v>1299.5</v>
      </c>
    </row>
    <row r="839" spans="3:9" x14ac:dyDescent="0.2">
      <c r="C839" s="10" t="s">
        <v>449</v>
      </c>
      <c r="D839" s="34">
        <v>1150</v>
      </c>
      <c r="E839" s="11">
        <f t="shared" si="75"/>
        <v>149.5</v>
      </c>
      <c r="F839" s="37"/>
      <c r="G839" s="47">
        <f t="shared" si="77"/>
        <v>1299.5</v>
      </c>
    </row>
    <row r="840" spans="3:9" x14ac:dyDescent="0.2">
      <c r="C840" s="10" t="s">
        <v>633</v>
      </c>
      <c r="D840" s="34">
        <v>1150</v>
      </c>
      <c r="E840" s="11">
        <f t="shared" si="75"/>
        <v>149.5</v>
      </c>
      <c r="F840" s="37"/>
      <c r="G840" s="47">
        <f t="shared" si="77"/>
        <v>1299.5</v>
      </c>
    </row>
    <row r="841" spans="3:9" x14ac:dyDescent="0.2">
      <c r="C841" s="10" t="s">
        <v>634</v>
      </c>
      <c r="D841" s="34">
        <v>1150</v>
      </c>
      <c r="E841" s="11">
        <f t="shared" si="75"/>
        <v>149.5</v>
      </c>
      <c r="F841" s="35"/>
      <c r="G841" s="47">
        <f t="shared" si="77"/>
        <v>1299.5</v>
      </c>
    </row>
    <row r="842" spans="3:9" x14ac:dyDescent="0.2">
      <c r="C842" s="10" t="s">
        <v>635</v>
      </c>
      <c r="D842" s="34">
        <v>1150</v>
      </c>
      <c r="E842" s="11">
        <f t="shared" si="75"/>
        <v>149.5</v>
      </c>
      <c r="F842" s="35"/>
      <c r="G842" s="47">
        <f t="shared" si="77"/>
        <v>1299.5</v>
      </c>
    </row>
    <row r="843" spans="3:9" x14ac:dyDescent="0.2">
      <c r="C843" s="10" t="s">
        <v>451</v>
      </c>
      <c r="D843" s="34">
        <v>850</v>
      </c>
      <c r="E843" s="11">
        <f t="shared" si="75"/>
        <v>110.5</v>
      </c>
      <c r="F843" s="35" t="e">
        <f>+#REF!*$F$12</f>
        <v>#REF!</v>
      </c>
      <c r="G843" s="47">
        <f t="shared" si="77"/>
        <v>960.5</v>
      </c>
      <c r="H843" s="19"/>
      <c r="I843" s="19"/>
    </row>
    <row r="844" spans="3:9" x14ac:dyDescent="0.2">
      <c r="C844" s="10" t="s">
        <v>452</v>
      </c>
      <c r="D844" s="34">
        <v>1300</v>
      </c>
      <c r="E844" s="11">
        <f t="shared" ref="E844:E861" si="80">+D844*13%</f>
        <v>169</v>
      </c>
      <c r="F844" s="35">
        <f t="shared" si="79"/>
        <v>21.645000000000003</v>
      </c>
      <c r="G844" s="47">
        <f t="shared" ref="G844:G848" si="81">+D844+E844</f>
        <v>1469</v>
      </c>
      <c r="H844" s="19"/>
      <c r="I844" s="19"/>
    </row>
    <row r="845" spans="3:9" x14ac:dyDescent="0.2">
      <c r="C845" s="10" t="s">
        <v>632</v>
      </c>
      <c r="D845" s="34">
        <v>1665</v>
      </c>
      <c r="E845" s="11">
        <f t="shared" si="80"/>
        <v>216.45000000000002</v>
      </c>
      <c r="F845" s="35">
        <f t="shared" si="79"/>
        <v>12.350000000000001</v>
      </c>
      <c r="G845" s="47">
        <f>+D845+E845</f>
        <v>1881.45</v>
      </c>
      <c r="H845" s="19"/>
      <c r="I845" s="19"/>
    </row>
    <row r="846" spans="3:9" x14ac:dyDescent="0.2">
      <c r="C846" s="10" t="s">
        <v>453</v>
      </c>
      <c r="D846" s="34">
        <v>950</v>
      </c>
      <c r="E846" s="11">
        <f t="shared" si="80"/>
        <v>123.5</v>
      </c>
      <c r="F846" s="35"/>
      <c r="G846" s="47">
        <f t="shared" si="81"/>
        <v>1073.5</v>
      </c>
      <c r="H846" s="19"/>
      <c r="I846" s="19"/>
    </row>
    <row r="847" spans="3:9" x14ac:dyDescent="0.2">
      <c r="C847" s="10" t="s">
        <v>454</v>
      </c>
      <c r="D847" s="34">
        <v>1585</v>
      </c>
      <c r="E847" s="11">
        <f t="shared" si="80"/>
        <v>206.05</v>
      </c>
      <c r="F847" s="35"/>
      <c r="G847" s="47">
        <f t="shared" si="81"/>
        <v>1791.05</v>
      </c>
    </row>
    <row r="848" spans="3:9" x14ac:dyDescent="0.2">
      <c r="C848" s="10" t="s">
        <v>455</v>
      </c>
      <c r="D848" s="55">
        <v>1685</v>
      </c>
      <c r="E848" s="11">
        <f t="shared" si="80"/>
        <v>219.05</v>
      </c>
      <c r="F848" s="12"/>
      <c r="G848" s="49">
        <f t="shared" si="81"/>
        <v>1904.05</v>
      </c>
    </row>
    <row r="849" spans="3:7" x14ac:dyDescent="0.2">
      <c r="C849" s="10" t="s">
        <v>456</v>
      </c>
      <c r="D849" s="62">
        <v>935</v>
      </c>
      <c r="E849" s="11">
        <f t="shared" si="80"/>
        <v>121.55</v>
      </c>
      <c r="G849" s="49">
        <v>1056.55</v>
      </c>
    </row>
    <row r="850" spans="3:7" x14ac:dyDescent="0.2">
      <c r="C850" s="26" t="s">
        <v>647</v>
      </c>
      <c r="D850" s="58"/>
      <c r="E850" s="11"/>
      <c r="G850" s="49"/>
    </row>
    <row r="851" spans="3:7" x14ac:dyDescent="0.2">
      <c r="C851" s="10" t="s">
        <v>648</v>
      </c>
      <c r="D851" s="50">
        <v>5500</v>
      </c>
      <c r="E851" s="11">
        <f t="shared" si="80"/>
        <v>715</v>
      </c>
      <c r="G851" s="56">
        <f>+D851+E851</f>
        <v>6215</v>
      </c>
    </row>
    <row r="852" spans="3:7" x14ac:dyDescent="0.2">
      <c r="C852" s="10" t="s">
        <v>649</v>
      </c>
      <c r="D852" s="50">
        <v>5000</v>
      </c>
      <c r="E852" s="11">
        <f t="shared" si="80"/>
        <v>650</v>
      </c>
      <c r="G852" s="56">
        <f>+D852+E852</f>
        <v>5650</v>
      </c>
    </row>
    <row r="853" spans="3:7" x14ac:dyDescent="0.2">
      <c r="C853" s="10" t="s">
        <v>650</v>
      </c>
      <c r="D853" s="50">
        <v>5000</v>
      </c>
      <c r="E853" s="11">
        <f t="shared" si="80"/>
        <v>650</v>
      </c>
      <c r="G853" s="56">
        <f t="shared" ref="G852:G861" si="82">+D853+E853</f>
        <v>5650</v>
      </c>
    </row>
    <row r="854" spans="3:7" x14ac:dyDescent="0.2">
      <c r="C854" s="10" t="s">
        <v>651</v>
      </c>
      <c r="D854" s="50">
        <v>5000</v>
      </c>
      <c r="E854" s="11">
        <f t="shared" si="80"/>
        <v>650</v>
      </c>
      <c r="G854" s="56">
        <f t="shared" si="82"/>
        <v>5650</v>
      </c>
    </row>
    <row r="855" spans="3:7" x14ac:dyDescent="0.2">
      <c r="C855" s="10" t="s">
        <v>652</v>
      </c>
      <c r="D855" s="50">
        <v>5000</v>
      </c>
      <c r="E855" s="11">
        <f t="shared" si="80"/>
        <v>650</v>
      </c>
      <c r="G855" s="56">
        <f t="shared" si="82"/>
        <v>5650</v>
      </c>
    </row>
    <row r="856" spans="3:7" x14ac:dyDescent="0.2">
      <c r="C856" s="10" t="s">
        <v>653</v>
      </c>
      <c r="D856" s="50">
        <v>5000</v>
      </c>
      <c r="E856" s="11">
        <f t="shared" si="80"/>
        <v>650</v>
      </c>
      <c r="G856" s="56">
        <f t="shared" si="82"/>
        <v>5650</v>
      </c>
    </row>
    <row r="857" spans="3:7" x14ac:dyDescent="0.2">
      <c r="C857" s="10" t="s">
        <v>654</v>
      </c>
      <c r="D857" s="50">
        <v>5750</v>
      </c>
      <c r="E857" s="11">
        <f t="shared" si="80"/>
        <v>747.5</v>
      </c>
      <c r="G857" s="56">
        <f t="shared" si="82"/>
        <v>6497.5</v>
      </c>
    </row>
    <row r="858" spans="3:7" x14ac:dyDescent="0.2">
      <c r="C858" s="10" t="s">
        <v>655</v>
      </c>
      <c r="D858" s="50">
        <v>5750</v>
      </c>
      <c r="E858" s="11">
        <f t="shared" si="80"/>
        <v>747.5</v>
      </c>
      <c r="G858" s="56">
        <f t="shared" si="82"/>
        <v>6497.5</v>
      </c>
    </row>
    <row r="859" spans="3:7" x14ac:dyDescent="0.2">
      <c r="C859" s="10" t="s">
        <v>656</v>
      </c>
      <c r="D859" s="50">
        <v>8500</v>
      </c>
      <c r="E859" s="11">
        <f t="shared" si="80"/>
        <v>1105</v>
      </c>
      <c r="G859" s="56">
        <f t="shared" si="82"/>
        <v>9605</v>
      </c>
    </row>
    <row r="860" spans="3:7" x14ac:dyDescent="0.2">
      <c r="C860" s="10" t="s">
        <v>657</v>
      </c>
      <c r="D860" s="57">
        <v>5900</v>
      </c>
      <c r="E860" s="11">
        <f t="shared" si="80"/>
        <v>767</v>
      </c>
      <c r="G860" s="56">
        <f t="shared" si="82"/>
        <v>6667</v>
      </c>
    </row>
    <row r="861" spans="3:7" x14ac:dyDescent="0.2">
      <c r="C861" s="10" t="s">
        <v>658</v>
      </c>
      <c r="D861" s="55">
        <v>8500</v>
      </c>
      <c r="E861" s="11">
        <f t="shared" si="80"/>
        <v>1105</v>
      </c>
      <c r="F861" s="12"/>
      <c r="G861" s="56">
        <f>+D861+E861</f>
        <v>9605</v>
      </c>
    </row>
    <row r="862" spans="3:7" x14ac:dyDescent="0.2">
      <c r="C862" s="10"/>
    </row>
    <row r="863" spans="3:7" x14ac:dyDescent="0.2">
      <c r="C863" s="51" t="s">
        <v>18</v>
      </c>
    </row>
    <row r="864" spans="3:7" x14ac:dyDescent="0.2">
      <c r="C864" s="51" t="s">
        <v>659</v>
      </c>
    </row>
  </sheetData>
  <autoFilter ref="C12:E85" xr:uid="{00000000-0009-0000-0000-000000000000}"/>
  <sortState xmlns:xlrd2="http://schemas.microsoft.com/office/spreadsheetml/2017/richdata2" ref="C13:G616">
    <sortCondition ref="G200"/>
  </sortState>
  <mergeCells count="4">
    <mergeCell ref="C3:F3"/>
    <mergeCell ref="C4:F4"/>
    <mergeCell ref="C5:F5"/>
    <mergeCell ref="C6:F6"/>
  </mergeCells>
  <pageMargins left="0.25" right="0.25" top="0.75" bottom="0.75" header="0.3" footer="0.3"/>
  <pageSetup scale="96" orientation="portrait" errors="NA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0" sqref="D20"/>
    </sheetView>
  </sheetViews>
  <sheetFormatPr baseColWidth="10" defaultColWidth="10.7109375" defaultRowHeight="12.75" x14ac:dyDescent="0.2"/>
  <sheetData>
    <row r="1" spans="1:1" x14ac:dyDescent="0.2">
      <c r="A1">
        <f>1445*1.05</f>
        <v>1517.25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(por categoria)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Licorera Herrera</cp:lastModifiedBy>
  <cp:lastPrinted>2020-10-30T15:08:08Z</cp:lastPrinted>
  <dcterms:created xsi:type="dcterms:W3CDTF">2009-03-04T01:28:43Z</dcterms:created>
  <dcterms:modified xsi:type="dcterms:W3CDTF">2026-04-06T16:07:20Z</dcterms:modified>
</cp:coreProperties>
</file>