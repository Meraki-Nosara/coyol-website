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big\Desktop\CONTA ENERO 2025\"/>
    </mc:Choice>
  </mc:AlternateContent>
  <xr:revisionPtr revIDLastSave="0" documentId="13_ncr:1_{6E34AC39-53C5-46D7-9979-5D5B99328FF6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LA LUNA" sheetId="1" r:id="rId1"/>
    <sheet name="COYOL" sheetId="2" r:id="rId2"/>
    <sheet name="ESH" sheetId="3" r:id="rId3"/>
    <sheet name="ESPECIA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7" i="2" l="1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D17" i="2"/>
</calcChain>
</file>

<file path=xl/sharedStrings.xml><?xml version="1.0" encoding="utf-8"?>
<sst xmlns="http://schemas.openxmlformats.org/spreadsheetml/2006/main" count="564" uniqueCount="90">
  <si>
    <t>Cantidad</t>
  </si>
  <si>
    <t>Desc. empleado</t>
  </si>
  <si>
    <t>ALEJANDRO XAVIER SALAZAR CARVAJAL</t>
  </si>
  <si>
    <t>BYRON ANTONIO ESPINOZA ALVARADO</t>
  </si>
  <si>
    <t>CARMEN ISABEL MUÑOZ ESPINOZA</t>
  </si>
  <si>
    <t>DARWIN TUGWELL FONSECA</t>
  </si>
  <si>
    <t>DIEGO ALEJANDRO LOPEZ ALVAREZ</t>
  </si>
  <si>
    <t>EDER JESUS ROJAS HERNANDEZ</t>
  </si>
  <si>
    <t>ELIZABETH SABALLO MAYORGA</t>
  </si>
  <si>
    <t>ESMERALDA DAYANA LOPEZ MATARRITA</t>
  </si>
  <si>
    <t>FRANKLIN ALI MENDOZA</t>
  </si>
  <si>
    <t>GRACIELA GARCIA CASTILLO</t>
  </si>
  <si>
    <t>ISABEL CRISTINA PRENDAS HERNANDEZ</t>
  </si>
  <si>
    <t>JAIRO ZUÑIGA PEREZ</t>
  </si>
  <si>
    <t>JENNY ISABEL MUÑOZ  ESPINOZA</t>
  </si>
  <si>
    <t>JERRY SERRANO CASTRO</t>
  </si>
  <si>
    <t>JOHANNA MARBETH PARRA REYES</t>
  </si>
  <si>
    <t>JORGE JOSE SILVA ESPINOZA</t>
  </si>
  <si>
    <t>JULIA MARIA ARRIETA EDUARTE</t>
  </si>
  <si>
    <t>KEISY DANIELA RUIZ RUIZ</t>
  </si>
  <si>
    <t>KEYLA ARLINA REYES NARVAEZ</t>
  </si>
  <si>
    <t>KIMBERLEEN PAOLA MOLINA SOTO</t>
  </si>
  <si>
    <t>LEINER RODRIGUEZ VILLALOBOS</t>
  </si>
  <si>
    <t>LINDA LORENA GUEVARA TORRES</t>
  </si>
  <si>
    <t>LUZ MERCEDES ESPINOZA MENDOZA</t>
  </si>
  <si>
    <t>MARIA NELA HERNANDEZ GUTIERREZ</t>
  </si>
  <si>
    <t>MARIA TERESA SABALLO MAYORGA</t>
  </si>
  <si>
    <t>MARY JOSE CASTILLO RUIZ</t>
  </si>
  <si>
    <t>MAURICIO ZUÑIGA CENTENO</t>
  </si>
  <si>
    <t>NELLY MATARRITA ROSALES</t>
  </si>
  <si>
    <t>NIELSI SELENE NAVARRETE GOMEZ</t>
  </si>
  <si>
    <t>ROSAURA CASTILLO ALVARADO</t>
  </si>
  <si>
    <t>SHARON TATIANA MATARRITA SEGURA</t>
  </si>
  <si>
    <t>VERONICA MEJIAS GONZALES</t>
  </si>
  <si>
    <t>Total general</t>
  </si>
  <si>
    <t>Monto</t>
  </si>
  <si>
    <t>Aporte patronal CCSS</t>
  </si>
  <si>
    <t>CCSS  (10.67%)</t>
  </si>
  <si>
    <t/>
  </si>
  <si>
    <t>Horas Apoyo Proveeduria</t>
  </si>
  <si>
    <t>Horas Extras Diurnas</t>
  </si>
  <si>
    <t>Horas Lactancia</t>
  </si>
  <si>
    <t>Horas Regulares Diurnas</t>
  </si>
  <si>
    <t>Incapacidad pagada medio tiempo</t>
  </si>
  <si>
    <t>Monto a pagar</t>
  </si>
  <si>
    <t>Prestamos</t>
  </si>
  <si>
    <t>Salario Bruto</t>
  </si>
  <si>
    <t>Salario Neto</t>
  </si>
  <si>
    <t>Service Tax Cocina</t>
  </si>
  <si>
    <t>Service Tax Salon + Tip tarjeta</t>
  </si>
  <si>
    <t>Incapacidad no pagada</t>
  </si>
  <si>
    <t>ANDRES TROCONIS ROMERO</t>
  </si>
  <si>
    <t>AURORA MARIA PRENDAS HERNANDEZ</t>
  </si>
  <si>
    <t>ERROL ANTONIO MARIN MATA</t>
  </si>
  <si>
    <t>GEORGE DANIEL LOPEZ GOMEZ</t>
  </si>
  <si>
    <t>JANNETH DEL CARMEN RUIZ GOMEZ</t>
  </si>
  <si>
    <t>JOHN FREISER LOPEZ JIMENEZ</t>
  </si>
  <si>
    <t>JORGE LUIS MATAMOROS DIAZ</t>
  </si>
  <si>
    <t>MAINOR  ALVAREZ ORDOÑEZ</t>
  </si>
  <si>
    <t>MOISES DORMUZ CASTILLO</t>
  </si>
  <si>
    <t>YEFERSON JESUA RIVERA GUEVARA</t>
  </si>
  <si>
    <t>YOHADY VANESSA LOPEZ JIMENEZ</t>
  </si>
  <si>
    <t>YORDANY DIAZ MATARRITA</t>
  </si>
  <si>
    <t>YUSTIN ANDRES PEREZ VALENCIA</t>
  </si>
  <si>
    <t>NOMINA COYOL</t>
  </si>
  <si>
    <t>MEYLING URBINA MARTINEZ</t>
  </si>
  <si>
    <t>LUIS GUILLERMO QUESADA HERRADORA</t>
  </si>
  <si>
    <t>JUAN RAMON CASTILLO ALVARADO</t>
  </si>
  <si>
    <t>GRISELL DAYANNA LOPEZ ALVAREZ</t>
  </si>
  <si>
    <t>GABRIELA HERRERA MONTIEL</t>
  </si>
  <si>
    <t>DARIN TUGWELL RODRIGUEZ</t>
  </si>
  <si>
    <t>CHEIRY NICOLE PEREZ PEREZ</t>
  </si>
  <si>
    <t>CARLOS CABRERA VEGA</t>
  </si>
  <si>
    <t>ADRIANA MACIEL CRUZ CRUZ</t>
  </si>
  <si>
    <t>Horas Regulares Luna Salon</t>
  </si>
  <si>
    <t>Horas Regulares Coyol</t>
  </si>
  <si>
    <t>Goce de vacaciones</t>
  </si>
  <si>
    <t>NOMINA ESPECIAL</t>
  </si>
  <si>
    <t>SOPHIE BOUCHARDON ESH</t>
  </si>
  <si>
    <t>SERENA BIVIANO</t>
  </si>
  <si>
    <t>MICHEIRY LOPEZ LOPEZ</t>
  </si>
  <si>
    <t>MARIO HERRERA SAVEDRA</t>
  </si>
  <si>
    <t>MARIO CAMPOS</t>
  </si>
  <si>
    <t>MARCO GERVASINI</t>
  </si>
  <si>
    <t>LILIA JADEN HINTZ ESH</t>
  </si>
  <si>
    <t>LEONARDO LOPEZ MEJIA</t>
  </si>
  <si>
    <t>JASSON ESPINOZA MUÑOZ</t>
  </si>
  <si>
    <t>ELVIN LOPEZ LOPEZ</t>
  </si>
  <si>
    <t>BRYAN PILA REFUERZO</t>
  </si>
  <si>
    <t>ALEXANDER SALAZAR GRANADOS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</si>
</sst>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Arial"/>
      <family val="2"/>
    </font>
    <font>
      <sz val="11"/>
      <color rgb="FF32323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  <xf numFmtId="4" fontId="1" fillId="2" borderId="1" xfId="0" applyNumberFormat="1" applyFont="1" applyFill="1" applyBorder="1" applyAlignment="1">
      <alignment horizontal="center" vertical="center" wrapText="1"/>
    </xf>
    <xf numFmtId="4" fontId="1" fillId="3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top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5"/>
  <sheetViews>
    <sheetView showGridLines="0" topLeftCell="A25" workbookViewId="0">
      <selection activeCell="U35" sqref="A1:U35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16.140625" bestFit="1" customWidth="1"/>
    <col min="5" max="5" width="14.28515625" customWidth="1"/>
    <col min="6" max="6" width="7.140625" bestFit="1" customWidth="1"/>
    <col min="7" max="7" width="14.28515625" customWidth="1"/>
    <col min="8" max="8" width="7.140625" bestFit="1" customWidth="1"/>
    <col min="9" max="9" width="14.28515625" customWidth="1"/>
    <col min="10" max="10" width="7.140625" bestFit="1" customWidth="1"/>
    <col min="11" max="13" width="14.28515625" customWidth="1"/>
    <col min="14" max="14" width="7.140625" bestFit="1" customWidth="1"/>
    <col min="15" max="21" width="14.28515625" customWidth="1"/>
  </cols>
  <sheetData>
    <row r="1" spans="1:21" ht="15" customHeight="1" x14ac:dyDescent="0.25">
      <c r="A1" s="1"/>
      <c r="B1" s="1"/>
      <c r="C1" s="1"/>
      <c r="D1" s="2"/>
      <c r="E1" s="2"/>
      <c r="F1" s="6" t="s">
        <v>39</v>
      </c>
      <c r="G1" s="6"/>
      <c r="H1" s="6" t="s">
        <v>40</v>
      </c>
      <c r="I1" s="6"/>
      <c r="J1" s="6" t="s">
        <v>41</v>
      </c>
      <c r="K1" s="6"/>
      <c r="L1" s="6" t="s">
        <v>42</v>
      </c>
      <c r="M1" s="6"/>
      <c r="N1" s="6" t="s">
        <v>43</v>
      </c>
      <c r="O1" s="6"/>
      <c r="P1" s="2" t="s">
        <v>45</v>
      </c>
      <c r="Q1" s="2" t="s">
        <v>46</v>
      </c>
      <c r="R1" s="2" t="s">
        <v>47</v>
      </c>
      <c r="S1" s="2" t="s">
        <v>48</v>
      </c>
      <c r="T1" s="2" t="s">
        <v>49</v>
      </c>
      <c r="U1" s="2" t="s">
        <v>44</v>
      </c>
    </row>
    <row r="2" spans="1:21" ht="15" customHeight="1" x14ac:dyDescent="0.25">
      <c r="A2" s="7" t="s">
        <v>1</v>
      </c>
      <c r="B2" s="7"/>
      <c r="C2" s="7"/>
      <c r="D2" s="3" t="s">
        <v>36</v>
      </c>
      <c r="E2" s="2" t="s">
        <v>37</v>
      </c>
      <c r="F2" s="3" t="s">
        <v>0</v>
      </c>
      <c r="G2" s="3" t="s">
        <v>35</v>
      </c>
      <c r="H2" s="3" t="s">
        <v>0</v>
      </c>
      <c r="I2" s="3" t="s">
        <v>35</v>
      </c>
      <c r="J2" s="3" t="s">
        <v>0</v>
      </c>
      <c r="K2" s="3" t="s">
        <v>35</v>
      </c>
      <c r="L2" s="3" t="s">
        <v>0</v>
      </c>
      <c r="M2" s="3" t="s">
        <v>35</v>
      </c>
      <c r="N2" s="3" t="s">
        <v>0</v>
      </c>
      <c r="O2" s="3" t="s">
        <v>35</v>
      </c>
      <c r="P2" s="3" t="s">
        <v>35</v>
      </c>
      <c r="Q2" s="3" t="s">
        <v>35</v>
      </c>
      <c r="R2" s="3" t="s">
        <v>35</v>
      </c>
      <c r="S2" s="3" t="s">
        <v>35</v>
      </c>
      <c r="T2" s="3" t="s">
        <v>35</v>
      </c>
      <c r="U2" s="3" t="s">
        <v>35</v>
      </c>
    </row>
    <row r="3" spans="1:21" ht="15" customHeight="1" x14ac:dyDescent="0.25">
      <c r="A3" s="6" t="s">
        <v>2</v>
      </c>
      <c r="B3" s="6"/>
      <c r="C3" s="6"/>
      <c r="D3" s="4">
        <v>30403.8</v>
      </c>
      <c r="E3" s="4">
        <v>12163.8</v>
      </c>
      <c r="F3" s="4" t="s">
        <v>38</v>
      </c>
      <c r="G3" s="4" t="s">
        <v>38</v>
      </c>
      <c r="H3" s="4">
        <v>6</v>
      </c>
      <c r="I3" s="4">
        <v>18000</v>
      </c>
      <c r="J3" s="4" t="s">
        <v>38</v>
      </c>
      <c r="K3" s="4" t="s">
        <v>38</v>
      </c>
      <c r="L3" s="4">
        <v>48</v>
      </c>
      <c r="M3" s="4">
        <v>96000</v>
      </c>
      <c r="N3" s="4" t="s">
        <v>38</v>
      </c>
      <c r="O3" s="4" t="s">
        <v>38</v>
      </c>
      <c r="P3" s="4" t="s">
        <v>38</v>
      </c>
      <c r="Q3" s="4">
        <v>114000</v>
      </c>
      <c r="R3" s="4">
        <v>101836.2</v>
      </c>
      <c r="S3" s="4">
        <v>96281.94</v>
      </c>
      <c r="T3" s="4" t="s">
        <v>38</v>
      </c>
      <c r="U3" s="4">
        <v>198118.14</v>
      </c>
    </row>
    <row r="4" spans="1:21" ht="15" customHeight="1" x14ac:dyDescent="0.25">
      <c r="A4" s="6" t="s">
        <v>3</v>
      </c>
      <c r="B4" s="6"/>
      <c r="C4" s="6"/>
      <c r="D4" s="4">
        <v>31030.55</v>
      </c>
      <c r="E4" s="4">
        <v>12414.55</v>
      </c>
      <c r="F4" s="4" t="s">
        <v>38</v>
      </c>
      <c r="G4" s="4" t="s">
        <v>38</v>
      </c>
      <c r="H4" s="4">
        <v>0</v>
      </c>
      <c r="I4" s="4">
        <v>0</v>
      </c>
      <c r="J4" s="4" t="s">
        <v>38</v>
      </c>
      <c r="K4" s="4" t="s">
        <v>38</v>
      </c>
      <c r="L4" s="4">
        <v>44.75</v>
      </c>
      <c r="M4" s="4">
        <v>116350</v>
      </c>
      <c r="N4" s="4" t="s">
        <v>38</v>
      </c>
      <c r="O4" s="4" t="s">
        <v>38</v>
      </c>
      <c r="P4" s="4" t="s">
        <v>38</v>
      </c>
      <c r="Q4" s="4">
        <v>116350</v>
      </c>
      <c r="R4" s="4">
        <v>103935.45</v>
      </c>
      <c r="S4" s="4">
        <v>45795.35</v>
      </c>
      <c r="T4" s="4" t="s">
        <v>38</v>
      </c>
      <c r="U4" s="4">
        <v>149730.79999999999</v>
      </c>
    </row>
    <row r="5" spans="1:21" ht="15" customHeight="1" x14ac:dyDescent="0.25">
      <c r="A5" s="6" t="s">
        <v>4</v>
      </c>
      <c r="B5" s="6"/>
      <c r="C5" s="6"/>
      <c r="D5" s="4">
        <v>26883.360000000001</v>
      </c>
      <c r="E5" s="4">
        <v>10755.36</v>
      </c>
      <c r="F5" s="4" t="s">
        <v>38</v>
      </c>
      <c r="G5" s="4" t="s">
        <v>38</v>
      </c>
      <c r="H5" s="4">
        <v>0</v>
      </c>
      <c r="I5" s="4">
        <v>0</v>
      </c>
      <c r="J5" s="4" t="s">
        <v>38</v>
      </c>
      <c r="K5" s="4" t="s">
        <v>38</v>
      </c>
      <c r="L5" s="4">
        <v>48</v>
      </c>
      <c r="M5" s="4">
        <v>100800</v>
      </c>
      <c r="N5" s="4" t="s">
        <v>38</v>
      </c>
      <c r="O5" s="4" t="s">
        <v>38</v>
      </c>
      <c r="P5" s="4">
        <v>25000</v>
      </c>
      <c r="Q5" s="4">
        <v>100800</v>
      </c>
      <c r="R5" s="4">
        <v>65044.639999999999</v>
      </c>
      <c r="S5" s="4" t="s">
        <v>38</v>
      </c>
      <c r="T5" s="4">
        <v>441656.61</v>
      </c>
      <c r="U5" s="4">
        <v>506701.25</v>
      </c>
    </row>
    <row r="6" spans="1:21" ht="15" customHeight="1" x14ac:dyDescent="0.25">
      <c r="A6" s="6" t="s">
        <v>5</v>
      </c>
      <c r="B6" s="6"/>
      <c r="C6" s="6"/>
      <c r="D6" s="4">
        <v>30403.8</v>
      </c>
      <c r="E6" s="4">
        <v>12163.8</v>
      </c>
      <c r="F6" s="4" t="s">
        <v>38</v>
      </c>
      <c r="G6" s="4" t="s">
        <v>38</v>
      </c>
      <c r="H6" s="4">
        <v>6</v>
      </c>
      <c r="I6" s="4">
        <v>18000</v>
      </c>
      <c r="J6" s="4" t="s">
        <v>38</v>
      </c>
      <c r="K6" s="4" t="s">
        <v>38</v>
      </c>
      <c r="L6" s="4">
        <v>48</v>
      </c>
      <c r="M6" s="4">
        <v>96000</v>
      </c>
      <c r="N6" s="4" t="s">
        <v>38</v>
      </c>
      <c r="O6" s="4" t="s">
        <v>38</v>
      </c>
      <c r="P6" s="4" t="s">
        <v>38</v>
      </c>
      <c r="Q6" s="4">
        <v>114000</v>
      </c>
      <c r="R6" s="4">
        <v>101836.2</v>
      </c>
      <c r="S6" s="4">
        <v>100860.72</v>
      </c>
      <c r="T6" s="4" t="s">
        <v>38</v>
      </c>
      <c r="U6" s="4">
        <v>202696.92</v>
      </c>
    </row>
    <row r="7" spans="1:21" ht="15" customHeight="1" x14ac:dyDescent="0.25">
      <c r="A7" s="6" t="s">
        <v>6</v>
      </c>
      <c r="B7" s="6"/>
      <c r="C7" s="6"/>
      <c r="D7" s="4">
        <v>24081.94</v>
      </c>
      <c r="E7" s="4">
        <v>9634.58</v>
      </c>
      <c r="F7" s="4">
        <v>5</v>
      </c>
      <c r="G7" s="4">
        <v>11000</v>
      </c>
      <c r="H7" s="4">
        <v>0</v>
      </c>
      <c r="I7" s="4">
        <v>0</v>
      </c>
      <c r="J7" s="4" t="s">
        <v>38</v>
      </c>
      <c r="K7" s="4" t="s">
        <v>38</v>
      </c>
      <c r="L7" s="4">
        <v>48</v>
      </c>
      <c r="M7" s="4">
        <v>79296</v>
      </c>
      <c r="N7" s="4" t="s">
        <v>38</v>
      </c>
      <c r="O7" s="4" t="s">
        <v>38</v>
      </c>
      <c r="P7" s="4" t="s">
        <v>38</v>
      </c>
      <c r="Q7" s="4">
        <v>90296</v>
      </c>
      <c r="R7" s="4">
        <v>80661.42</v>
      </c>
      <c r="S7" s="4" t="s">
        <v>38</v>
      </c>
      <c r="T7" s="4">
        <v>538436.55000000005</v>
      </c>
      <c r="U7" s="4">
        <v>619097.97</v>
      </c>
    </row>
    <row r="8" spans="1:21" ht="15" customHeight="1" x14ac:dyDescent="0.25">
      <c r="A8" s="6" t="s">
        <v>7</v>
      </c>
      <c r="B8" s="6"/>
      <c r="C8" s="6"/>
      <c r="D8" s="4">
        <v>23130.89</v>
      </c>
      <c r="E8" s="4">
        <v>9254.09</v>
      </c>
      <c r="F8" s="4" t="s">
        <v>38</v>
      </c>
      <c r="G8" s="4" t="s">
        <v>38</v>
      </c>
      <c r="H8" s="4">
        <v>3</v>
      </c>
      <c r="I8" s="4">
        <v>7434</v>
      </c>
      <c r="J8" s="4" t="s">
        <v>38</v>
      </c>
      <c r="K8" s="4" t="s">
        <v>38</v>
      </c>
      <c r="L8" s="4">
        <v>48</v>
      </c>
      <c r="M8" s="4">
        <v>79296</v>
      </c>
      <c r="N8" s="4" t="s">
        <v>38</v>
      </c>
      <c r="O8" s="4" t="s">
        <v>38</v>
      </c>
      <c r="P8" s="4" t="s">
        <v>38</v>
      </c>
      <c r="Q8" s="4">
        <v>86730</v>
      </c>
      <c r="R8" s="4">
        <v>77475.91</v>
      </c>
      <c r="S8" s="4" t="s">
        <v>38</v>
      </c>
      <c r="T8" s="4">
        <v>391000.21</v>
      </c>
      <c r="U8" s="4">
        <v>468476.12</v>
      </c>
    </row>
    <row r="9" spans="1:21" ht="15" customHeight="1" x14ac:dyDescent="0.25">
      <c r="A9" s="6" t="s">
        <v>8</v>
      </c>
      <c r="B9" s="6"/>
      <c r="C9" s="6"/>
      <c r="D9" s="4">
        <v>36404.550000000003</v>
      </c>
      <c r="E9" s="4">
        <v>14564.55</v>
      </c>
      <c r="F9" s="4" t="s">
        <v>38</v>
      </c>
      <c r="G9" s="4" t="s">
        <v>38</v>
      </c>
      <c r="H9" s="4">
        <v>3</v>
      </c>
      <c r="I9" s="4">
        <v>11700</v>
      </c>
      <c r="J9" s="4" t="s">
        <v>38</v>
      </c>
      <c r="K9" s="4" t="s">
        <v>38</v>
      </c>
      <c r="L9" s="4">
        <v>48</v>
      </c>
      <c r="M9" s="4">
        <v>124800</v>
      </c>
      <c r="N9" s="4" t="s">
        <v>38</v>
      </c>
      <c r="O9" s="4" t="s">
        <v>38</v>
      </c>
      <c r="P9" s="4" t="s">
        <v>38</v>
      </c>
      <c r="Q9" s="4">
        <v>136500</v>
      </c>
      <c r="R9" s="4">
        <v>121935.45</v>
      </c>
      <c r="S9" s="4">
        <v>100860.72</v>
      </c>
      <c r="T9" s="4" t="s">
        <v>38</v>
      </c>
      <c r="U9" s="4">
        <v>222796.17</v>
      </c>
    </row>
    <row r="10" spans="1:21" ht="15" customHeight="1" x14ac:dyDescent="0.25">
      <c r="A10" s="6" t="s">
        <v>9</v>
      </c>
      <c r="B10" s="6"/>
      <c r="C10" s="6"/>
      <c r="D10" s="4">
        <v>28803.599999999999</v>
      </c>
      <c r="E10" s="4">
        <v>11523.6</v>
      </c>
      <c r="F10" s="4" t="s">
        <v>38</v>
      </c>
      <c r="G10" s="4" t="s">
        <v>38</v>
      </c>
      <c r="H10" s="4">
        <v>4</v>
      </c>
      <c r="I10" s="4">
        <v>12000</v>
      </c>
      <c r="J10" s="4" t="s">
        <v>38</v>
      </c>
      <c r="K10" s="4" t="s">
        <v>38</v>
      </c>
      <c r="L10" s="4">
        <v>48</v>
      </c>
      <c r="M10" s="4">
        <v>96000</v>
      </c>
      <c r="N10" s="4" t="s">
        <v>38</v>
      </c>
      <c r="O10" s="4" t="s">
        <v>38</v>
      </c>
      <c r="P10" s="4" t="s">
        <v>38</v>
      </c>
      <c r="Q10" s="4">
        <v>108000</v>
      </c>
      <c r="R10" s="4">
        <v>96476.4</v>
      </c>
      <c r="S10" s="4">
        <v>98504.51</v>
      </c>
      <c r="T10" s="4" t="s">
        <v>38</v>
      </c>
      <c r="U10" s="4">
        <v>194980.91</v>
      </c>
    </row>
    <row r="11" spans="1:21" ht="15" customHeight="1" x14ac:dyDescent="0.25">
      <c r="A11" s="6" t="s">
        <v>10</v>
      </c>
      <c r="B11" s="6"/>
      <c r="C11" s="6"/>
      <c r="D11" s="4">
        <v>36484.559999999998</v>
      </c>
      <c r="E11" s="4">
        <v>14596.56</v>
      </c>
      <c r="F11" s="4" t="s">
        <v>38</v>
      </c>
      <c r="G11" s="4" t="s">
        <v>38</v>
      </c>
      <c r="H11" s="4">
        <v>6</v>
      </c>
      <c r="I11" s="4">
        <v>21600</v>
      </c>
      <c r="J11" s="4" t="s">
        <v>38</v>
      </c>
      <c r="K11" s="4" t="s">
        <v>38</v>
      </c>
      <c r="L11" s="4">
        <v>48</v>
      </c>
      <c r="M11" s="4">
        <v>115200</v>
      </c>
      <c r="N11" s="4" t="s">
        <v>38</v>
      </c>
      <c r="O11" s="4" t="s">
        <v>38</v>
      </c>
      <c r="P11" s="4" t="s">
        <v>38</v>
      </c>
      <c r="Q11" s="4">
        <v>136800</v>
      </c>
      <c r="R11" s="4">
        <v>122203.44</v>
      </c>
      <c r="S11" s="4">
        <v>98504.51</v>
      </c>
      <c r="T11" s="4" t="s">
        <v>38</v>
      </c>
      <c r="U11" s="4">
        <v>220707.95</v>
      </c>
    </row>
    <row r="12" spans="1:21" ht="15" customHeight="1" x14ac:dyDescent="0.25">
      <c r="A12" s="6" t="s">
        <v>11</v>
      </c>
      <c r="B12" s="6"/>
      <c r="C12" s="6"/>
      <c r="D12" s="4">
        <v>33004.129999999997</v>
      </c>
      <c r="E12" s="4">
        <v>13204.13</v>
      </c>
      <c r="F12" s="4" t="s">
        <v>38</v>
      </c>
      <c r="G12" s="4" t="s">
        <v>38</v>
      </c>
      <c r="H12" s="4">
        <v>1.5</v>
      </c>
      <c r="I12" s="4">
        <v>4950</v>
      </c>
      <c r="J12" s="4">
        <v>6</v>
      </c>
      <c r="K12" s="4">
        <v>13200</v>
      </c>
      <c r="L12" s="4">
        <v>48</v>
      </c>
      <c r="M12" s="4">
        <v>105600</v>
      </c>
      <c r="N12" s="4" t="s">
        <v>38</v>
      </c>
      <c r="O12" s="4" t="s">
        <v>38</v>
      </c>
      <c r="P12" s="4" t="s">
        <v>38</v>
      </c>
      <c r="Q12" s="4">
        <v>123750</v>
      </c>
      <c r="R12" s="4">
        <v>110545.87</v>
      </c>
      <c r="S12" s="4">
        <v>93563.49</v>
      </c>
      <c r="T12" s="4" t="s">
        <v>38</v>
      </c>
      <c r="U12" s="4">
        <v>204109.36</v>
      </c>
    </row>
    <row r="13" spans="1:21" ht="15" customHeight="1" x14ac:dyDescent="0.25">
      <c r="A13" s="6" t="s">
        <v>12</v>
      </c>
      <c r="B13" s="6"/>
      <c r="C13" s="6"/>
      <c r="D13" s="4">
        <v>33070.800000000003</v>
      </c>
      <c r="E13" s="4">
        <v>13230.8</v>
      </c>
      <c r="F13" s="4" t="s">
        <v>38</v>
      </c>
      <c r="G13" s="4" t="s">
        <v>38</v>
      </c>
      <c r="H13" s="4">
        <v>0</v>
      </c>
      <c r="I13" s="4">
        <v>0</v>
      </c>
      <c r="J13" s="4" t="s">
        <v>38</v>
      </c>
      <c r="K13" s="4" t="s">
        <v>38</v>
      </c>
      <c r="L13" s="4">
        <v>40</v>
      </c>
      <c r="M13" s="4">
        <v>124000</v>
      </c>
      <c r="N13" s="4" t="s">
        <v>38</v>
      </c>
      <c r="O13" s="4" t="s">
        <v>38</v>
      </c>
      <c r="P13" s="4" t="s">
        <v>38</v>
      </c>
      <c r="Q13" s="4">
        <v>124000</v>
      </c>
      <c r="R13" s="4">
        <v>110769.2</v>
      </c>
      <c r="S13" s="4" t="s">
        <v>38</v>
      </c>
      <c r="T13" s="4">
        <v>315707.12</v>
      </c>
      <c r="U13" s="4">
        <v>426476.32</v>
      </c>
    </row>
    <row r="14" spans="1:21" ht="15" customHeight="1" x14ac:dyDescent="0.25">
      <c r="A14" s="6" t="s">
        <v>13</v>
      </c>
      <c r="B14" s="6"/>
      <c r="C14" s="6"/>
      <c r="D14" s="4">
        <v>25113.54</v>
      </c>
      <c r="E14" s="4">
        <v>10047.299999999999</v>
      </c>
      <c r="F14" s="4">
        <v>0</v>
      </c>
      <c r="G14" s="4">
        <v>0</v>
      </c>
      <c r="H14" s="4">
        <v>6</v>
      </c>
      <c r="I14" s="4">
        <v>14868</v>
      </c>
      <c r="J14" s="4" t="s">
        <v>38</v>
      </c>
      <c r="K14" s="4" t="s">
        <v>38</v>
      </c>
      <c r="L14" s="4">
        <v>48</v>
      </c>
      <c r="M14" s="4">
        <v>79296</v>
      </c>
      <c r="N14" s="4" t="s">
        <v>38</v>
      </c>
      <c r="O14" s="4" t="s">
        <v>38</v>
      </c>
      <c r="P14" s="4" t="s">
        <v>38</v>
      </c>
      <c r="Q14" s="4">
        <v>94164</v>
      </c>
      <c r="R14" s="4">
        <v>84116.7</v>
      </c>
      <c r="S14" s="4" t="s">
        <v>38</v>
      </c>
      <c r="T14" s="4">
        <v>523125.85</v>
      </c>
      <c r="U14" s="4">
        <v>607242.55000000005</v>
      </c>
    </row>
    <row r="15" spans="1:21" ht="15" customHeight="1" x14ac:dyDescent="0.25">
      <c r="A15" s="6" t="s">
        <v>14</v>
      </c>
      <c r="B15" s="6"/>
      <c r="C15" s="6"/>
      <c r="D15" s="4">
        <v>38404.800000000003</v>
      </c>
      <c r="E15" s="4">
        <v>15364.8</v>
      </c>
      <c r="F15" s="4" t="s">
        <v>38</v>
      </c>
      <c r="G15" s="4" t="s">
        <v>38</v>
      </c>
      <c r="H15" s="4">
        <v>0</v>
      </c>
      <c r="I15" s="4">
        <v>0</v>
      </c>
      <c r="J15" s="4" t="s">
        <v>38</v>
      </c>
      <c r="K15" s="4" t="s">
        <v>38</v>
      </c>
      <c r="L15" s="4">
        <v>48</v>
      </c>
      <c r="M15" s="4">
        <v>144000</v>
      </c>
      <c r="N15" s="4" t="s">
        <v>38</v>
      </c>
      <c r="O15" s="4" t="s">
        <v>38</v>
      </c>
      <c r="P15" s="4">
        <v>10000</v>
      </c>
      <c r="Q15" s="4">
        <v>144000</v>
      </c>
      <c r="R15" s="4">
        <v>118635.2</v>
      </c>
      <c r="S15" s="4">
        <v>96281.94</v>
      </c>
      <c r="T15" s="4" t="s">
        <v>38</v>
      </c>
      <c r="U15" s="4">
        <v>214917.14</v>
      </c>
    </row>
    <row r="16" spans="1:21" ht="15" customHeight="1" x14ac:dyDescent="0.25">
      <c r="A16" s="6" t="s">
        <v>15</v>
      </c>
      <c r="B16" s="6"/>
      <c r="C16" s="6"/>
      <c r="D16" s="4">
        <v>23042.880000000001</v>
      </c>
      <c r="E16" s="4">
        <v>9218.8799999999992</v>
      </c>
      <c r="F16" s="4" t="s">
        <v>38</v>
      </c>
      <c r="G16" s="4" t="s">
        <v>38</v>
      </c>
      <c r="H16" s="4">
        <v>0</v>
      </c>
      <c r="I16" s="4">
        <v>0</v>
      </c>
      <c r="J16" s="4" t="s">
        <v>38</v>
      </c>
      <c r="K16" s="4" t="s">
        <v>38</v>
      </c>
      <c r="L16" s="4">
        <v>48</v>
      </c>
      <c r="M16" s="4">
        <v>86400</v>
      </c>
      <c r="N16" s="4" t="s">
        <v>38</v>
      </c>
      <c r="O16" s="4" t="s">
        <v>38</v>
      </c>
      <c r="P16" s="4">
        <v>25000</v>
      </c>
      <c r="Q16" s="4">
        <v>86400</v>
      </c>
      <c r="R16" s="4">
        <v>52181.120000000003</v>
      </c>
      <c r="S16" s="4" t="s">
        <v>38</v>
      </c>
      <c r="T16" s="4">
        <v>470587.09</v>
      </c>
      <c r="U16" s="4">
        <v>522768.21</v>
      </c>
    </row>
    <row r="17" spans="1:21" ht="15" customHeight="1" x14ac:dyDescent="0.25">
      <c r="A17" s="6" t="s">
        <v>16</v>
      </c>
      <c r="B17" s="6"/>
      <c r="C17" s="6"/>
      <c r="D17" s="4">
        <v>23130.89</v>
      </c>
      <c r="E17" s="4">
        <v>9254.09</v>
      </c>
      <c r="F17" s="4" t="s">
        <v>38</v>
      </c>
      <c r="G17" s="4" t="s">
        <v>38</v>
      </c>
      <c r="H17" s="4">
        <v>3</v>
      </c>
      <c r="I17" s="4">
        <v>7434</v>
      </c>
      <c r="J17" s="4" t="s">
        <v>38</v>
      </c>
      <c r="K17" s="4" t="s">
        <v>38</v>
      </c>
      <c r="L17" s="4">
        <v>48</v>
      </c>
      <c r="M17" s="4">
        <v>79296</v>
      </c>
      <c r="N17" s="4" t="s">
        <v>38</v>
      </c>
      <c r="O17" s="4" t="s">
        <v>38</v>
      </c>
      <c r="P17" s="4" t="s">
        <v>38</v>
      </c>
      <c r="Q17" s="4">
        <v>86730</v>
      </c>
      <c r="R17" s="4">
        <v>77475.91</v>
      </c>
      <c r="S17" s="4" t="s">
        <v>38</v>
      </c>
      <c r="T17" s="4">
        <v>465674.66</v>
      </c>
      <c r="U17" s="4">
        <v>543150.56999999995</v>
      </c>
    </row>
    <row r="18" spans="1:21" ht="15" customHeight="1" x14ac:dyDescent="0.25">
      <c r="A18" s="6" t="s">
        <v>17</v>
      </c>
      <c r="B18" s="6"/>
      <c r="C18" s="6"/>
      <c r="D18" s="4">
        <v>41205.15</v>
      </c>
      <c r="E18" s="4">
        <v>16485.150000000001</v>
      </c>
      <c r="F18" s="4" t="s">
        <v>38</v>
      </c>
      <c r="G18" s="4" t="s">
        <v>38</v>
      </c>
      <c r="H18" s="4">
        <v>0</v>
      </c>
      <c r="I18" s="4">
        <v>0</v>
      </c>
      <c r="J18" s="4" t="s">
        <v>38</v>
      </c>
      <c r="K18" s="4" t="s">
        <v>38</v>
      </c>
      <c r="L18" s="4">
        <v>43.5</v>
      </c>
      <c r="M18" s="4">
        <v>130500</v>
      </c>
      <c r="N18" s="4">
        <v>16</v>
      </c>
      <c r="O18" s="4">
        <v>24000</v>
      </c>
      <c r="P18" s="4" t="s">
        <v>38</v>
      </c>
      <c r="Q18" s="4">
        <v>154500</v>
      </c>
      <c r="R18" s="4">
        <v>138014.85</v>
      </c>
      <c r="S18" s="4">
        <v>75271.44</v>
      </c>
      <c r="T18" s="4" t="s">
        <v>38</v>
      </c>
      <c r="U18" s="4">
        <v>213286.29</v>
      </c>
    </row>
    <row r="19" spans="1:21" ht="15" customHeight="1" x14ac:dyDescent="0.25">
      <c r="A19" s="6" t="s">
        <v>18</v>
      </c>
      <c r="B19" s="6"/>
      <c r="C19" s="6"/>
      <c r="D19" s="4">
        <v>50406.3</v>
      </c>
      <c r="E19" s="4">
        <v>20166.3</v>
      </c>
      <c r="F19" s="4" t="s">
        <v>38</v>
      </c>
      <c r="G19" s="4" t="s">
        <v>38</v>
      </c>
      <c r="H19" s="4">
        <v>10</v>
      </c>
      <c r="I19" s="4">
        <v>45000</v>
      </c>
      <c r="J19" s="4" t="s">
        <v>38</v>
      </c>
      <c r="K19" s="4" t="s">
        <v>38</v>
      </c>
      <c r="L19" s="4">
        <v>48</v>
      </c>
      <c r="M19" s="4">
        <v>144000</v>
      </c>
      <c r="N19" s="4" t="s">
        <v>38</v>
      </c>
      <c r="O19" s="4" t="s">
        <v>38</v>
      </c>
      <c r="P19" s="4" t="s">
        <v>38</v>
      </c>
      <c r="Q19" s="4">
        <v>189000</v>
      </c>
      <c r="R19" s="4">
        <v>168833.7</v>
      </c>
      <c r="S19" s="4" t="s">
        <v>38</v>
      </c>
      <c r="T19" s="4">
        <v>421181.76</v>
      </c>
      <c r="U19" s="4">
        <v>590015.46</v>
      </c>
    </row>
    <row r="20" spans="1:21" ht="15" customHeight="1" x14ac:dyDescent="0.25">
      <c r="A20" s="6" t="s">
        <v>19</v>
      </c>
      <c r="B20" s="6"/>
      <c r="C20" s="6"/>
      <c r="D20" s="4">
        <v>15090.15</v>
      </c>
      <c r="E20" s="4">
        <v>6037.19</v>
      </c>
      <c r="F20" s="4" t="s">
        <v>38</v>
      </c>
      <c r="G20" s="4" t="s">
        <v>38</v>
      </c>
      <c r="H20" s="4">
        <v>0</v>
      </c>
      <c r="I20" s="4">
        <v>0</v>
      </c>
      <c r="J20" s="4" t="s">
        <v>38</v>
      </c>
      <c r="K20" s="4" t="s">
        <v>38</v>
      </c>
      <c r="L20" s="4">
        <v>34.25</v>
      </c>
      <c r="M20" s="4">
        <v>56581</v>
      </c>
      <c r="N20" s="4" t="s">
        <v>38</v>
      </c>
      <c r="O20" s="4" t="s">
        <v>38</v>
      </c>
      <c r="P20" s="4" t="s">
        <v>38</v>
      </c>
      <c r="Q20" s="4">
        <v>56581</v>
      </c>
      <c r="R20" s="4">
        <v>50543.81</v>
      </c>
      <c r="S20" s="4" t="s">
        <v>38</v>
      </c>
      <c r="T20" s="4">
        <v>239202.45</v>
      </c>
      <c r="U20" s="4">
        <v>289746.26</v>
      </c>
    </row>
    <row r="21" spans="1:21" ht="15" customHeight="1" x14ac:dyDescent="0.25">
      <c r="A21" s="6" t="s">
        <v>20</v>
      </c>
      <c r="B21" s="6"/>
      <c r="C21" s="6"/>
      <c r="D21" s="4">
        <v>37444.68</v>
      </c>
      <c r="E21" s="4">
        <v>14980.68</v>
      </c>
      <c r="F21" s="4" t="s">
        <v>38</v>
      </c>
      <c r="G21" s="4" t="s">
        <v>38</v>
      </c>
      <c r="H21" s="4">
        <v>4</v>
      </c>
      <c r="I21" s="4">
        <v>15600</v>
      </c>
      <c r="J21" s="4" t="s">
        <v>38</v>
      </c>
      <c r="K21" s="4" t="s">
        <v>38</v>
      </c>
      <c r="L21" s="4">
        <v>48</v>
      </c>
      <c r="M21" s="4">
        <v>124800</v>
      </c>
      <c r="N21" s="4" t="s">
        <v>38</v>
      </c>
      <c r="O21" s="4" t="s">
        <v>38</v>
      </c>
      <c r="P21" s="4" t="s">
        <v>38</v>
      </c>
      <c r="Q21" s="4">
        <v>140400</v>
      </c>
      <c r="R21" s="4">
        <v>125419.32</v>
      </c>
      <c r="S21" s="4">
        <v>84673.03</v>
      </c>
      <c r="T21" s="4" t="s">
        <v>38</v>
      </c>
      <c r="U21" s="4">
        <v>210092.35</v>
      </c>
    </row>
    <row r="22" spans="1:21" ht="15" customHeight="1" x14ac:dyDescent="0.25">
      <c r="A22" s="6" t="s">
        <v>21</v>
      </c>
      <c r="B22" s="6"/>
      <c r="C22" s="6"/>
      <c r="D22" s="4">
        <v>16742.36</v>
      </c>
      <c r="E22" s="4">
        <v>6698.2</v>
      </c>
      <c r="F22" s="4" t="s">
        <v>38</v>
      </c>
      <c r="G22" s="4" t="s">
        <v>38</v>
      </c>
      <c r="H22" s="4">
        <v>0</v>
      </c>
      <c r="I22" s="4">
        <v>0</v>
      </c>
      <c r="J22" s="4" t="s">
        <v>38</v>
      </c>
      <c r="K22" s="4" t="s">
        <v>38</v>
      </c>
      <c r="L22" s="4">
        <v>38</v>
      </c>
      <c r="M22" s="4">
        <v>62776</v>
      </c>
      <c r="N22" s="4" t="s">
        <v>38</v>
      </c>
      <c r="O22" s="4" t="s">
        <v>38</v>
      </c>
      <c r="P22" s="4" t="s">
        <v>38</v>
      </c>
      <c r="Q22" s="4">
        <v>62776</v>
      </c>
      <c r="R22" s="4">
        <v>56077.8</v>
      </c>
      <c r="S22" s="4" t="s">
        <v>38</v>
      </c>
      <c r="T22" s="4">
        <v>372589.08</v>
      </c>
      <c r="U22" s="4">
        <v>428666.88</v>
      </c>
    </row>
    <row r="23" spans="1:21" ht="15" customHeight="1" x14ac:dyDescent="0.25">
      <c r="A23" s="6" t="s">
        <v>22</v>
      </c>
      <c r="B23" s="6"/>
      <c r="C23" s="6"/>
      <c r="D23" s="4">
        <v>25603.200000000001</v>
      </c>
      <c r="E23" s="4">
        <v>10243.200000000001</v>
      </c>
      <c r="F23" s="4" t="s">
        <v>38</v>
      </c>
      <c r="G23" s="4" t="s">
        <v>38</v>
      </c>
      <c r="H23" s="4">
        <v>0</v>
      </c>
      <c r="I23" s="4">
        <v>0</v>
      </c>
      <c r="J23" s="4" t="s">
        <v>38</v>
      </c>
      <c r="K23" s="4" t="s">
        <v>38</v>
      </c>
      <c r="L23" s="4">
        <v>48</v>
      </c>
      <c r="M23" s="4">
        <v>96000</v>
      </c>
      <c r="N23" s="4" t="s">
        <v>38</v>
      </c>
      <c r="O23" s="4" t="s">
        <v>38</v>
      </c>
      <c r="P23" s="4" t="s">
        <v>38</v>
      </c>
      <c r="Q23" s="4">
        <v>96000</v>
      </c>
      <c r="R23" s="4">
        <v>85756.800000000003</v>
      </c>
      <c r="S23" s="4">
        <v>75650.960000000006</v>
      </c>
      <c r="T23" s="4" t="s">
        <v>38</v>
      </c>
      <c r="U23" s="4">
        <v>161407.76</v>
      </c>
    </row>
    <row r="24" spans="1:21" ht="15" customHeight="1" x14ac:dyDescent="0.25">
      <c r="A24" s="6" t="s">
        <v>23</v>
      </c>
      <c r="B24" s="6"/>
      <c r="C24" s="6"/>
      <c r="D24" s="4">
        <v>11117.39</v>
      </c>
      <c r="E24" s="4">
        <v>4447.79</v>
      </c>
      <c r="F24" s="4" t="s">
        <v>38</v>
      </c>
      <c r="G24" s="4" t="s">
        <v>38</v>
      </c>
      <c r="H24" s="4">
        <v>0</v>
      </c>
      <c r="I24" s="4">
        <v>0</v>
      </c>
      <c r="J24" s="4" t="s">
        <v>38</v>
      </c>
      <c r="K24" s="4" t="s">
        <v>38</v>
      </c>
      <c r="L24" s="4">
        <v>19.850000000000001</v>
      </c>
      <c r="M24" s="4">
        <v>41685</v>
      </c>
      <c r="N24" s="4" t="s">
        <v>38</v>
      </c>
      <c r="O24" s="4" t="s">
        <v>38</v>
      </c>
      <c r="P24" s="4">
        <v>25000</v>
      </c>
      <c r="Q24" s="4">
        <v>41685</v>
      </c>
      <c r="R24" s="4">
        <v>12237.21</v>
      </c>
      <c r="S24" s="4">
        <v>32379.78</v>
      </c>
      <c r="T24" s="4" t="s">
        <v>38</v>
      </c>
      <c r="U24" s="4">
        <v>44616.99</v>
      </c>
    </row>
    <row r="25" spans="1:21" ht="15" customHeight="1" x14ac:dyDescent="0.25">
      <c r="A25" s="6" t="s">
        <v>24</v>
      </c>
      <c r="B25" s="6"/>
      <c r="C25" s="6"/>
      <c r="D25" s="4">
        <v>38484.81</v>
      </c>
      <c r="E25" s="4">
        <v>15396.81</v>
      </c>
      <c r="F25" s="4" t="s">
        <v>38</v>
      </c>
      <c r="G25" s="4" t="s">
        <v>38</v>
      </c>
      <c r="H25" s="4">
        <v>5</v>
      </c>
      <c r="I25" s="4">
        <v>19500</v>
      </c>
      <c r="J25" s="4" t="s">
        <v>38</v>
      </c>
      <c r="K25" s="4" t="s">
        <v>38</v>
      </c>
      <c r="L25" s="4">
        <v>48</v>
      </c>
      <c r="M25" s="4">
        <v>124800</v>
      </c>
      <c r="N25" s="4" t="s">
        <v>38</v>
      </c>
      <c r="O25" s="4" t="s">
        <v>38</v>
      </c>
      <c r="P25" s="4">
        <v>10000</v>
      </c>
      <c r="Q25" s="4">
        <v>144300</v>
      </c>
      <c r="R25" s="4">
        <v>118903.19</v>
      </c>
      <c r="S25" s="4">
        <v>93822.31</v>
      </c>
      <c r="T25" s="4" t="s">
        <v>38</v>
      </c>
      <c r="U25" s="4">
        <v>212725.5</v>
      </c>
    </row>
    <row r="26" spans="1:21" ht="15" customHeight="1" x14ac:dyDescent="0.25">
      <c r="A26" s="6" t="s">
        <v>25</v>
      </c>
      <c r="B26" s="6"/>
      <c r="C26" s="6"/>
      <c r="D26" s="4">
        <v>36724.589999999997</v>
      </c>
      <c r="E26" s="4">
        <v>14692.59</v>
      </c>
      <c r="F26" s="4" t="s">
        <v>38</v>
      </c>
      <c r="G26" s="4" t="s">
        <v>38</v>
      </c>
      <c r="H26" s="4">
        <v>2</v>
      </c>
      <c r="I26" s="4">
        <v>8100</v>
      </c>
      <c r="J26" s="4" t="s">
        <v>38</v>
      </c>
      <c r="K26" s="4" t="s">
        <v>38</v>
      </c>
      <c r="L26" s="4">
        <v>48</v>
      </c>
      <c r="M26" s="4">
        <v>129600</v>
      </c>
      <c r="N26" s="4" t="s">
        <v>38</v>
      </c>
      <c r="O26" s="4" t="s">
        <v>38</v>
      </c>
      <c r="P26" s="4" t="s">
        <v>38</v>
      </c>
      <c r="Q26" s="4">
        <v>137700</v>
      </c>
      <c r="R26" s="4">
        <v>123007.41</v>
      </c>
      <c r="S26" s="4">
        <v>84673.03</v>
      </c>
      <c r="T26" s="4" t="s">
        <v>38</v>
      </c>
      <c r="U26" s="4">
        <v>207680.44</v>
      </c>
    </row>
    <row r="27" spans="1:21" ht="15" customHeight="1" x14ac:dyDescent="0.25">
      <c r="A27" s="6" t="s">
        <v>26</v>
      </c>
      <c r="B27" s="6"/>
      <c r="C27" s="6"/>
      <c r="D27" s="4">
        <v>28563.57</v>
      </c>
      <c r="E27" s="4">
        <v>11427.57</v>
      </c>
      <c r="F27" s="4" t="s">
        <v>38</v>
      </c>
      <c r="G27" s="4" t="s">
        <v>38</v>
      </c>
      <c r="H27" s="4">
        <v>2</v>
      </c>
      <c r="I27" s="4">
        <v>6300</v>
      </c>
      <c r="J27" s="4" t="s">
        <v>38</v>
      </c>
      <c r="K27" s="4" t="s">
        <v>38</v>
      </c>
      <c r="L27" s="4">
        <v>48</v>
      </c>
      <c r="M27" s="4">
        <v>100800</v>
      </c>
      <c r="N27" s="4" t="s">
        <v>38</v>
      </c>
      <c r="O27" s="4" t="s">
        <v>38</v>
      </c>
      <c r="P27" s="4" t="s">
        <v>38</v>
      </c>
      <c r="Q27" s="4">
        <v>107100</v>
      </c>
      <c r="R27" s="4">
        <v>95672.43</v>
      </c>
      <c r="S27" s="4">
        <v>91590.74</v>
      </c>
      <c r="T27" s="4" t="s">
        <v>38</v>
      </c>
      <c r="U27" s="4">
        <v>187263.17</v>
      </c>
    </row>
    <row r="28" spans="1:21" ht="15" customHeight="1" x14ac:dyDescent="0.25">
      <c r="A28" s="6" t="s">
        <v>27</v>
      </c>
      <c r="B28" s="6"/>
      <c r="C28" s="6"/>
      <c r="D28" s="4">
        <v>48006</v>
      </c>
      <c r="E28" s="4">
        <v>19206</v>
      </c>
      <c r="F28" s="4" t="s">
        <v>38</v>
      </c>
      <c r="G28" s="4" t="s">
        <v>38</v>
      </c>
      <c r="H28" s="4">
        <v>8</v>
      </c>
      <c r="I28" s="4">
        <v>36000</v>
      </c>
      <c r="J28" s="4" t="s">
        <v>38</v>
      </c>
      <c r="K28" s="4" t="s">
        <v>38</v>
      </c>
      <c r="L28" s="4">
        <v>48</v>
      </c>
      <c r="M28" s="4">
        <v>144000</v>
      </c>
      <c r="N28" s="4" t="s">
        <v>38</v>
      </c>
      <c r="O28" s="4" t="s">
        <v>38</v>
      </c>
      <c r="P28" s="4" t="s">
        <v>38</v>
      </c>
      <c r="Q28" s="4">
        <v>180000</v>
      </c>
      <c r="R28" s="4">
        <v>160794</v>
      </c>
      <c r="S28" s="4">
        <v>98504.51</v>
      </c>
      <c r="T28" s="4" t="s">
        <v>38</v>
      </c>
      <c r="U28" s="4">
        <v>259298.51</v>
      </c>
    </row>
    <row r="29" spans="1:21" ht="15" customHeight="1" x14ac:dyDescent="0.25">
      <c r="A29" s="6" t="s">
        <v>28</v>
      </c>
      <c r="B29" s="6"/>
      <c r="C29" s="6"/>
      <c r="D29" s="4">
        <v>26069.93</v>
      </c>
      <c r="E29" s="4">
        <v>10429.93</v>
      </c>
      <c r="F29" s="4" t="s">
        <v>38</v>
      </c>
      <c r="G29" s="4" t="s">
        <v>38</v>
      </c>
      <c r="H29" s="4">
        <v>0</v>
      </c>
      <c r="I29" s="4">
        <v>0</v>
      </c>
      <c r="J29" s="4" t="s">
        <v>38</v>
      </c>
      <c r="K29" s="4" t="s">
        <v>38</v>
      </c>
      <c r="L29" s="4">
        <v>42.5</v>
      </c>
      <c r="M29" s="4">
        <v>97750</v>
      </c>
      <c r="N29" s="4" t="s">
        <v>38</v>
      </c>
      <c r="O29" s="4" t="s">
        <v>38</v>
      </c>
      <c r="P29" s="4" t="s">
        <v>38</v>
      </c>
      <c r="Q29" s="4">
        <v>97750</v>
      </c>
      <c r="R29" s="4">
        <v>87320.07</v>
      </c>
      <c r="S29" s="4" t="s">
        <v>38</v>
      </c>
      <c r="T29" s="4" t="s">
        <v>38</v>
      </c>
      <c r="U29" s="4">
        <v>87320.07</v>
      </c>
    </row>
    <row r="30" spans="1:21" ht="15" customHeight="1" x14ac:dyDescent="0.25">
      <c r="A30" s="6" t="s">
        <v>29</v>
      </c>
      <c r="B30" s="6"/>
      <c r="C30" s="6"/>
      <c r="D30" s="4">
        <v>28163.52</v>
      </c>
      <c r="E30" s="4">
        <v>11267.52</v>
      </c>
      <c r="F30" s="4" t="s">
        <v>38</v>
      </c>
      <c r="G30" s="4" t="s">
        <v>38</v>
      </c>
      <c r="H30" s="4">
        <v>0</v>
      </c>
      <c r="I30" s="4">
        <v>0</v>
      </c>
      <c r="J30" s="4" t="s">
        <v>38</v>
      </c>
      <c r="K30" s="4" t="s">
        <v>38</v>
      </c>
      <c r="L30" s="4">
        <v>48</v>
      </c>
      <c r="M30" s="4">
        <v>105600</v>
      </c>
      <c r="N30" s="4" t="s">
        <v>38</v>
      </c>
      <c r="O30" s="4" t="s">
        <v>38</v>
      </c>
      <c r="P30" s="4" t="s">
        <v>38</v>
      </c>
      <c r="Q30" s="4">
        <v>105600</v>
      </c>
      <c r="R30" s="4">
        <v>94332.479999999996</v>
      </c>
      <c r="S30" s="4">
        <v>42336.5</v>
      </c>
      <c r="T30" s="4" t="s">
        <v>38</v>
      </c>
      <c r="U30" s="4">
        <v>136668.98000000001</v>
      </c>
    </row>
    <row r="31" spans="1:21" ht="15" customHeight="1" x14ac:dyDescent="0.25">
      <c r="A31" s="6" t="s">
        <v>30</v>
      </c>
      <c r="B31" s="6"/>
      <c r="C31" s="6"/>
      <c r="D31" s="4">
        <v>15993.36</v>
      </c>
      <c r="E31" s="4">
        <v>6398.54</v>
      </c>
      <c r="F31" s="4" t="s">
        <v>38</v>
      </c>
      <c r="G31" s="4" t="s">
        <v>38</v>
      </c>
      <c r="H31" s="4">
        <v>0</v>
      </c>
      <c r="I31" s="4">
        <v>0</v>
      </c>
      <c r="J31" s="4" t="s">
        <v>38</v>
      </c>
      <c r="K31" s="4" t="s">
        <v>38</v>
      </c>
      <c r="L31" s="4">
        <v>36.299999999999997</v>
      </c>
      <c r="M31" s="4">
        <v>59967.6</v>
      </c>
      <c r="N31" s="4" t="s">
        <v>38</v>
      </c>
      <c r="O31" s="4" t="s">
        <v>38</v>
      </c>
      <c r="P31" s="4" t="s">
        <v>38</v>
      </c>
      <c r="Q31" s="4">
        <v>59967.6</v>
      </c>
      <c r="R31" s="4">
        <v>53569.06</v>
      </c>
      <c r="S31" s="4" t="s">
        <v>38</v>
      </c>
      <c r="T31" s="4">
        <v>286255.68</v>
      </c>
      <c r="U31" s="4">
        <v>339824.74</v>
      </c>
    </row>
    <row r="32" spans="1:21" ht="15" customHeight="1" x14ac:dyDescent="0.25">
      <c r="A32" s="6" t="s">
        <v>31</v>
      </c>
      <c r="B32" s="6"/>
      <c r="C32" s="6"/>
      <c r="D32" s="4">
        <v>29603.7</v>
      </c>
      <c r="E32" s="4">
        <v>11843.7</v>
      </c>
      <c r="F32" s="4" t="s">
        <v>38</v>
      </c>
      <c r="G32" s="4" t="s">
        <v>38</v>
      </c>
      <c r="H32" s="4">
        <v>5</v>
      </c>
      <c r="I32" s="4">
        <v>15000</v>
      </c>
      <c r="J32" s="4" t="s">
        <v>38</v>
      </c>
      <c r="K32" s="4" t="s">
        <v>38</v>
      </c>
      <c r="L32" s="4">
        <v>48</v>
      </c>
      <c r="M32" s="4">
        <v>96000</v>
      </c>
      <c r="N32" s="4" t="s">
        <v>38</v>
      </c>
      <c r="O32" s="4" t="s">
        <v>38</v>
      </c>
      <c r="P32" s="4" t="s">
        <v>38</v>
      </c>
      <c r="Q32" s="4">
        <v>111000</v>
      </c>
      <c r="R32" s="4">
        <v>99156.3</v>
      </c>
      <c r="S32" s="4" t="s">
        <v>38</v>
      </c>
      <c r="T32" s="4">
        <v>532177.02</v>
      </c>
      <c r="U32" s="4">
        <v>631333.31999999995</v>
      </c>
    </row>
    <row r="33" spans="1:21" ht="15" customHeight="1" x14ac:dyDescent="0.25">
      <c r="A33" s="6" t="s">
        <v>32</v>
      </c>
      <c r="B33" s="6"/>
      <c r="C33" s="6"/>
      <c r="D33" s="4">
        <v>26803.35</v>
      </c>
      <c r="E33" s="4">
        <v>10723.35</v>
      </c>
      <c r="F33" s="4" t="s">
        <v>38</v>
      </c>
      <c r="G33" s="4" t="s">
        <v>38</v>
      </c>
      <c r="H33" s="4">
        <v>1.5</v>
      </c>
      <c r="I33" s="4">
        <v>4500</v>
      </c>
      <c r="J33" s="4" t="s">
        <v>38</v>
      </c>
      <c r="K33" s="4" t="s">
        <v>38</v>
      </c>
      <c r="L33" s="4">
        <v>48</v>
      </c>
      <c r="M33" s="4">
        <v>96000</v>
      </c>
      <c r="N33" s="4" t="s">
        <v>38</v>
      </c>
      <c r="O33" s="4" t="s">
        <v>38</v>
      </c>
      <c r="P33" s="4" t="s">
        <v>38</v>
      </c>
      <c r="Q33" s="4">
        <v>100500</v>
      </c>
      <c r="R33" s="4">
        <v>89776.65</v>
      </c>
      <c r="S33" s="4">
        <v>91590.74</v>
      </c>
      <c r="T33" s="4" t="s">
        <v>38</v>
      </c>
      <c r="U33" s="4">
        <v>181367.39</v>
      </c>
    </row>
    <row r="34" spans="1:21" ht="15" customHeight="1" x14ac:dyDescent="0.25">
      <c r="A34" s="6" t="s">
        <v>33</v>
      </c>
      <c r="B34" s="6"/>
      <c r="C34" s="6"/>
      <c r="D34" s="4">
        <v>23791.77</v>
      </c>
      <c r="E34" s="4">
        <v>9518.49</v>
      </c>
      <c r="F34" s="4" t="s">
        <v>38</v>
      </c>
      <c r="G34" s="4" t="s">
        <v>38</v>
      </c>
      <c r="H34" s="4">
        <v>4</v>
      </c>
      <c r="I34" s="4">
        <v>9912</v>
      </c>
      <c r="J34" s="4" t="s">
        <v>38</v>
      </c>
      <c r="K34" s="4" t="s">
        <v>38</v>
      </c>
      <c r="L34" s="4">
        <v>48</v>
      </c>
      <c r="M34" s="4">
        <v>79296</v>
      </c>
      <c r="N34" s="4" t="s">
        <v>38</v>
      </c>
      <c r="O34" s="4" t="s">
        <v>38</v>
      </c>
      <c r="P34" s="4" t="s">
        <v>38</v>
      </c>
      <c r="Q34" s="4">
        <v>89208</v>
      </c>
      <c r="R34" s="4">
        <v>79689.509999999995</v>
      </c>
      <c r="S34" s="4" t="s">
        <v>38</v>
      </c>
      <c r="T34" s="4">
        <v>485714.9</v>
      </c>
      <c r="U34" s="4">
        <v>565404.41</v>
      </c>
    </row>
    <row r="35" spans="1:21" ht="15" customHeight="1" x14ac:dyDescent="0.25">
      <c r="A35" s="6" t="s">
        <v>34</v>
      </c>
      <c r="B35" s="6"/>
      <c r="C35" s="6"/>
      <c r="D35" s="4">
        <v>943207.92</v>
      </c>
      <c r="E35" s="4">
        <v>377353.9</v>
      </c>
      <c r="F35" s="4">
        <v>5</v>
      </c>
      <c r="G35" s="4">
        <v>11000</v>
      </c>
      <c r="H35" s="4">
        <v>80</v>
      </c>
      <c r="I35" s="4">
        <v>275898</v>
      </c>
      <c r="J35" s="4">
        <v>6</v>
      </c>
      <c r="K35" s="4">
        <v>13200</v>
      </c>
      <c r="L35" s="4">
        <v>1451.15</v>
      </c>
      <c r="M35" s="4">
        <v>3212489.6</v>
      </c>
      <c r="N35" s="4">
        <v>16</v>
      </c>
      <c r="O35" s="4">
        <v>24000</v>
      </c>
      <c r="P35" s="4">
        <v>95000</v>
      </c>
      <c r="Q35" s="4">
        <v>3536587.6</v>
      </c>
      <c r="R35" s="4">
        <v>3064233.7</v>
      </c>
      <c r="S35" s="4">
        <v>1501146.22</v>
      </c>
      <c r="T35" s="4">
        <v>5483308.9800000004</v>
      </c>
      <c r="U35" s="4">
        <v>10048688.9</v>
      </c>
    </row>
  </sheetData>
  <mergeCells count="39"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32:C32"/>
    <mergeCell ref="A33:C33"/>
    <mergeCell ref="A34:C34"/>
    <mergeCell ref="A35:C35"/>
    <mergeCell ref="A27:C27"/>
    <mergeCell ref="A28:C28"/>
    <mergeCell ref="A29:C29"/>
    <mergeCell ref="A30:C30"/>
    <mergeCell ref="A31:C31"/>
    <mergeCell ref="F1:G1"/>
    <mergeCell ref="H1:I1"/>
    <mergeCell ref="J1:K1"/>
    <mergeCell ref="L1:M1"/>
    <mergeCell ref="N1:O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66A12-DFAD-468C-A6A5-EABF1E4A2AA5}">
  <dimension ref="A1:S17"/>
  <sheetViews>
    <sheetView tabSelected="1" workbookViewId="0">
      <selection activeCell="K14" sqref="K14"/>
    </sheetView>
  </sheetViews>
  <sheetFormatPr baseColWidth="10" defaultRowHeight="18.75" customHeight="1" x14ac:dyDescent="0.25"/>
  <cols>
    <col min="9" max="9" width="13" bestFit="1" customWidth="1"/>
    <col min="15" max="16" width="13" bestFit="1" customWidth="1"/>
    <col min="18" max="18" width="29.85546875" bestFit="1" customWidth="1"/>
    <col min="19" max="19" width="14.140625" bestFit="1" customWidth="1"/>
  </cols>
  <sheetData>
    <row r="1" spans="1:19" ht="18.75" customHeight="1" x14ac:dyDescent="0.25">
      <c r="A1" s="8" t="s">
        <v>64</v>
      </c>
      <c r="B1" s="9"/>
      <c r="C1" s="10"/>
      <c r="D1" s="2"/>
      <c r="E1" s="2"/>
      <c r="F1" s="6" t="s">
        <v>40</v>
      </c>
      <c r="G1" s="6"/>
      <c r="H1" s="6" t="s">
        <v>42</v>
      </c>
      <c r="I1" s="6"/>
      <c r="J1" s="6" t="s">
        <v>50</v>
      </c>
      <c r="K1" s="6"/>
      <c r="L1" s="6" t="s">
        <v>43</v>
      </c>
      <c r="M1" s="6"/>
      <c r="N1" s="2" t="s">
        <v>45</v>
      </c>
      <c r="O1" s="2" t="s">
        <v>46</v>
      </c>
      <c r="P1" s="2" t="s">
        <v>47</v>
      </c>
      <c r="Q1" s="2" t="s">
        <v>48</v>
      </c>
      <c r="R1" s="2" t="s">
        <v>49</v>
      </c>
      <c r="S1" s="2" t="s">
        <v>44</v>
      </c>
    </row>
    <row r="2" spans="1:19" ht="18.75" customHeight="1" x14ac:dyDescent="0.25">
      <c r="A2" s="7" t="s">
        <v>1</v>
      </c>
      <c r="B2" s="7"/>
      <c r="C2" s="7"/>
      <c r="D2" s="3" t="s">
        <v>36</v>
      </c>
      <c r="E2" s="2" t="s">
        <v>37</v>
      </c>
      <c r="F2" s="3" t="s">
        <v>0</v>
      </c>
      <c r="G2" s="3" t="s">
        <v>35</v>
      </c>
      <c r="H2" s="3" t="s">
        <v>0</v>
      </c>
      <c r="I2" s="3" t="s">
        <v>35</v>
      </c>
      <c r="J2" s="3" t="s">
        <v>0</v>
      </c>
      <c r="K2" s="3" t="s">
        <v>35</v>
      </c>
      <c r="L2" s="3" t="s">
        <v>0</v>
      </c>
      <c r="M2" s="3" t="s">
        <v>35</v>
      </c>
      <c r="N2" s="3" t="s">
        <v>35</v>
      </c>
      <c r="O2" s="3" t="s">
        <v>35</v>
      </c>
      <c r="P2" s="3" t="s">
        <v>35</v>
      </c>
      <c r="Q2" s="3" t="s">
        <v>35</v>
      </c>
      <c r="R2" s="3" t="s">
        <v>35</v>
      </c>
      <c r="S2" s="3" t="s">
        <v>35</v>
      </c>
    </row>
    <row r="3" spans="1:19" ht="18.75" customHeight="1" x14ac:dyDescent="0.25">
      <c r="A3" s="6" t="s">
        <v>51</v>
      </c>
      <c r="B3" s="6"/>
      <c r="C3" s="6"/>
      <c r="D3" s="4">
        <v>25774.42</v>
      </c>
      <c r="E3" s="4">
        <v>10311.700000000001</v>
      </c>
      <c r="F3" s="4">
        <v>7</v>
      </c>
      <c r="G3" s="4">
        <v>17346</v>
      </c>
      <c r="H3" s="4">
        <v>48</v>
      </c>
      <c r="I3" s="4">
        <v>79296</v>
      </c>
      <c r="J3" s="4" t="s">
        <v>38</v>
      </c>
      <c r="K3" s="4" t="s">
        <v>38</v>
      </c>
      <c r="L3" s="4" t="s">
        <v>38</v>
      </c>
      <c r="M3" s="4" t="s">
        <v>38</v>
      </c>
      <c r="N3" s="4" t="s">
        <v>38</v>
      </c>
      <c r="O3" s="4">
        <v>96642</v>
      </c>
      <c r="P3" s="4">
        <v>86330.3</v>
      </c>
      <c r="Q3" s="4" t="s">
        <v>38</v>
      </c>
      <c r="R3" s="4">
        <v>422353.43</v>
      </c>
      <c r="S3" s="4">
        <v>508683.73</v>
      </c>
    </row>
    <row r="4" spans="1:19" ht="18.75" customHeight="1" x14ac:dyDescent="0.25">
      <c r="A4" s="6" t="s">
        <v>52</v>
      </c>
      <c r="B4" s="6"/>
      <c r="C4" s="6"/>
      <c r="D4" s="4">
        <v>49286.16</v>
      </c>
      <c r="E4" s="4">
        <v>19718.16</v>
      </c>
      <c r="F4" s="4">
        <v>12</v>
      </c>
      <c r="G4" s="4">
        <v>50400</v>
      </c>
      <c r="H4" s="4">
        <v>48</v>
      </c>
      <c r="I4" s="4">
        <v>134400</v>
      </c>
      <c r="J4" s="4" t="s">
        <v>38</v>
      </c>
      <c r="K4" s="4" t="s">
        <v>38</v>
      </c>
      <c r="L4" s="4" t="s">
        <v>38</v>
      </c>
      <c r="M4" s="4" t="s">
        <v>38</v>
      </c>
      <c r="N4" s="4">
        <v>15000</v>
      </c>
      <c r="O4" s="4">
        <v>184800</v>
      </c>
      <c r="P4" s="4">
        <v>150081.84</v>
      </c>
      <c r="Q4" s="4">
        <v>115374.25</v>
      </c>
      <c r="R4" s="4" t="s">
        <v>38</v>
      </c>
      <c r="S4" s="4">
        <v>265456.09000000003</v>
      </c>
    </row>
    <row r="5" spans="1:19" ht="18.75" customHeight="1" x14ac:dyDescent="0.25">
      <c r="A5" s="6" t="s">
        <v>53</v>
      </c>
      <c r="B5" s="6"/>
      <c r="C5" s="6"/>
      <c r="D5" s="4">
        <v>23922.99</v>
      </c>
      <c r="E5" s="4">
        <v>9570.99</v>
      </c>
      <c r="F5" s="4">
        <v>0</v>
      </c>
      <c r="G5" s="4">
        <v>0</v>
      </c>
      <c r="H5" s="4">
        <v>44.85</v>
      </c>
      <c r="I5" s="4">
        <v>89700</v>
      </c>
      <c r="J5" s="4" t="s">
        <v>38</v>
      </c>
      <c r="K5" s="4" t="s">
        <v>38</v>
      </c>
      <c r="L5" s="4" t="s">
        <v>38</v>
      </c>
      <c r="M5" s="4" t="s">
        <v>38</v>
      </c>
      <c r="N5" s="4" t="s">
        <v>38</v>
      </c>
      <c r="O5" s="4">
        <v>89700</v>
      </c>
      <c r="P5" s="4">
        <v>80129.009999999995</v>
      </c>
      <c r="Q5" s="4" t="s">
        <v>38</v>
      </c>
      <c r="R5" s="4">
        <v>360287.8</v>
      </c>
      <c r="S5" s="4">
        <v>440416.81</v>
      </c>
    </row>
    <row r="6" spans="1:19" ht="18.75" customHeight="1" x14ac:dyDescent="0.25">
      <c r="A6" s="6" t="s">
        <v>54</v>
      </c>
      <c r="B6" s="6"/>
      <c r="C6" s="6"/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 t="s">
        <v>38</v>
      </c>
      <c r="K6" s="4" t="s">
        <v>38</v>
      </c>
      <c r="L6" s="4" t="s">
        <v>38</v>
      </c>
      <c r="M6" s="4" t="s">
        <v>38</v>
      </c>
      <c r="N6" s="4" t="s">
        <v>38</v>
      </c>
      <c r="O6" s="4">
        <v>0</v>
      </c>
      <c r="P6" s="4">
        <v>0</v>
      </c>
      <c r="Q6" s="4" t="s">
        <v>38</v>
      </c>
      <c r="R6" s="4">
        <v>371464.78</v>
      </c>
      <c r="S6" s="4">
        <v>371464.78</v>
      </c>
    </row>
    <row r="7" spans="1:19" ht="18.75" customHeight="1" x14ac:dyDescent="0.25">
      <c r="A7" s="6" t="s">
        <v>55</v>
      </c>
      <c r="B7" s="6"/>
      <c r="C7" s="6"/>
      <c r="D7" s="4">
        <v>8001</v>
      </c>
      <c r="E7" s="4">
        <v>3201</v>
      </c>
      <c r="F7" s="4">
        <v>0</v>
      </c>
      <c r="G7" s="4">
        <v>0</v>
      </c>
      <c r="H7" s="4">
        <v>0</v>
      </c>
      <c r="I7" s="4">
        <v>0</v>
      </c>
      <c r="J7" s="4">
        <v>16</v>
      </c>
      <c r="K7" s="4">
        <v>0</v>
      </c>
      <c r="L7" s="4">
        <v>24</v>
      </c>
      <c r="M7" s="4">
        <v>30000</v>
      </c>
      <c r="N7" s="4" t="s">
        <v>38</v>
      </c>
      <c r="O7" s="4">
        <v>30000</v>
      </c>
      <c r="P7" s="4">
        <v>26799</v>
      </c>
      <c r="Q7" s="4">
        <v>0</v>
      </c>
      <c r="R7" s="4" t="s">
        <v>38</v>
      </c>
      <c r="S7" s="4">
        <v>26799</v>
      </c>
    </row>
    <row r="8" spans="1:19" ht="18.75" customHeight="1" x14ac:dyDescent="0.25">
      <c r="A8" s="6" t="s">
        <v>56</v>
      </c>
      <c r="B8" s="6"/>
      <c r="C8" s="6"/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 t="s">
        <v>38</v>
      </c>
      <c r="K8" s="4" t="s">
        <v>38</v>
      </c>
      <c r="L8" s="4" t="s">
        <v>38</v>
      </c>
      <c r="M8" s="4" t="s">
        <v>38</v>
      </c>
      <c r="N8" s="4" t="s">
        <v>38</v>
      </c>
      <c r="O8" s="4">
        <v>0</v>
      </c>
      <c r="P8" s="4">
        <v>0</v>
      </c>
      <c r="Q8" s="4" t="s">
        <v>38</v>
      </c>
      <c r="R8" s="4">
        <v>476407.06</v>
      </c>
      <c r="S8" s="4">
        <v>476407.06</v>
      </c>
    </row>
    <row r="9" spans="1:19" ht="18.75" customHeight="1" x14ac:dyDescent="0.25">
      <c r="A9" s="6" t="s">
        <v>57</v>
      </c>
      <c r="B9" s="6"/>
      <c r="C9" s="6"/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 t="s">
        <v>38</v>
      </c>
      <c r="K9" s="4" t="s">
        <v>38</v>
      </c>
      <c r="L9" s="4" t="s">
        <v>38</v>
      </c>
      <c r="M9" s="4" t="s">
        <v>38</v>
      </c>
      <c r="N9" s="4" t="s">
        <v>38</v>
      </c>
      <c r="O9" s="4">
        <v>0</v>
      </c>
      <c r="P9" s="4">
        <v>0</v>
      </c>
      <c r="Q9" s="4">
        <v>105377.48</v>
      </c>
      <c r="R9" s="4" t="s">
        <v>38</v>
      </c>
      <c r="S9" s="4">
        <v>105377.48</v>
      </c>
    </row>
    <row r="10" spans="1:19" ht="15" x14ac:dyDescent="0.25">
      <c r="A10" s="11" t="s">
        <v>82</v>
      </c>
      <c r="B10" s="11"/>
      <c r="C10" s="11"/>
      <c r="D10" s="5">
        <v>35204.400000000001</v>
      </c>
      <c r="E10" s="5">
        <v>14084.4</v>
      </c>
      <c r="F10" s="5">
        <v>12</v>
      </c>
      <c r="G10" s="5">
        <v>36000</v>
      </c>
      <c r="H10" s="5">
        <v>48</v>
      </c>
      <c r="I10" s="5">
        <v>96000</v>
      </c>
      <c r="J10" s="12"/>
      <c r="K10" s="12"/>
      <c r="L10" s="12"/>
      <c r="M10" s="12"/>
      <c r="N10" s="12"/>
      <c r="O10" s="5">
        <v>132000</v>
      </c>
      <c r="P10" s="5">
        <v>117915.6</v>
      </c>
      <c r="Q10" s="5">
        <v>127635.12</v>
      </c>
      <c r="R10" s="5" t="s">
        <v>38</v>
      </c>
      <c r="S10" s="5">
        <v>245550.72</v>
      </c>
    </row>
    <row r="11" spans="1:19" ht="18.75" customHeight="1" x14ac:dyDescent="0.25">
      <c r="A11" s="6" t="s">
        <v>58</v>
      </c>
      <c r="B11" s="6"/>
      <c r="C11" s="6"/>
      <c r="D11" s="4">
        <v>49286.16</v>
      </c>
      <c r="E11" s="4">
        <v>19718.16</v>
      </c>
      <c r="F11" s="4">
        <v>12</v>
      </c>
      <c r="G11" s="4">
        <v>50400</v>
      </c>
      <c r="H11" s="4">
        <v>48</v>
      </c>
      <c r="I11" s="4">
        <v>134400</v>
      </c>
      <c r="J11" s="4" t="s">
        <v>38</v>
      </c>
      <c r="K11" s="4" t="s">
        <v>38</v>
      </c>
      <c r="L11" s="4" t="s">
        <v>38</v>
      </c>
      <c r="M11" s="4" t="s">
        <v>38</v>
      </c>
      <c r="N11" s="4" t="s">
        <v>38</v>
      </c>
      <c r="O11" s="4">
        <v>184800</v>
      </c>
      <c r="P11" s="4">
        <v>165081.84</v>
      </c>
      <c r="Q11" s="4">
        <v>103465.41</v>
      </c>
      <c r="R11" s="4" t="s">
        <v>38</v>
      </c>
      <c r="S11" s="4">
        <v>268547.25</v>
      </c>
    </row>
    <row r="12" spans="1:19" ht="18.75" customHeight="1" x14ac:dyDescent="0.25">
      <c r="A12" s="6" t="s">
        <v>59</v>
      </c>
      <c r="B12" s="6"/>
      <c r="C12" s="6"/>
      <c r="D12" s="4">
        <v>24452.66</v>
      </c>
      <c r="E12" s="4">
        <v>9782.9</v>
      </c>
      <c r="F12" s="4">
        <v>5</v>
      </c>
      <c r="G12" s="4">
        <v>12390</v>
      </c>
      <c r="H12" s="4">
        <v>48</v>
      </c>
      <c r="I12" s="4">
        <v>79296</v>
      </c>
      <c r="J12" s="4" t="s">
        <v>38</v>
      </c>
      <c r="K12" s="4" t="s">
        <v>38</v>
      </c>
      <c r="L12" s="4" t="s">
        <v>38</v>
      </c>
      <c r="M12" s="4" t="s">
        <v>38</v>
      </c>
      <c r="N12" s="4" t="s">
        <v>38</v>
      </c>
      <c r="O12" s="4">
        <v>91686</v>
      </c>
      <c r="P12" s="4">
        <v>81903.100000000006</v>
      </c>
      <c r="Q12" s="4" t="s">
        <v>38</v>
      </c>
      <c r="R12" s="4">
        <v>376831.7</v>
      </c>
      <c r="S12" s="4">
        <v>458734.8</v>
      </c>
    </row>
    <row r="13" spans="1:19" ht="18.75" customHeight="1" x14ac:dyDescent="0.25">
      <c r="A13" s="6" t="s">
        <v>60</v>
      </c>
      <c r="B13" s="6"/>
      <c r="C13" s="6"/>
      <c r="D13" s="4">
        <v>23130.89</v>
      </c>
      <c r="E13" s="4">
        <v>9254.09</v>
      </c>
      <c r="F13" s="4">
        <v>3</v>
      </c>
      <c r="G13" s="4">
        <v>7434</v>
      </c>
      <c r="H13" s="4">
        <v>48</v>
      </c>
      <c r="I13" s="4">
        <v>79296</v>
      </c>
      <c r="J13" s="4" t="s">
        <v>38</v>
      </c>
      <c r="K13" s="4" t="s">
        <v>38</v>
      </c>
      <c r="L13" s="4" t="s">
        <v>38</v>
      </c>
      <c r="M13" s="4" t="s">
        <v>38</v>
      </c>
      <c r="N13" s="4" t="s">
        <v>38</v>
      </c>
      <c r="O13" s="4">
        <v>86730</v>
      </c>
      <c r="P13" s="4">
        <v>77475.91</v>
      </c>
      <c r="Q13" s="4" t="s">
        <v>38</v>
      </c>
      <c r="R13" s="4">
        <v>414563.94</v>
      </c>
      <c r="S13" s="4">
        <v>492039.85</v>
      </c>
    </row>
    <row r="14" spans="1:19" ht="18.75" customHeight="1" x14ac:dyDescent="0.25">
      <c r="A14" s="6" t="s">
        <v>61</v>
      </c>
      <c r="B14" s="6"/>
      <c r="C14" s="6"/>
      <c r="D14" s="4">
        <v>49286.16</v>
      </c>
      <c r="E14" s="4">
        <v>19718.16</v>
      </c>
      <c r="F14" s="4">
        <v>12</v>
      </c>
      <c r="G14" s="4">
        <v>50400</v>
      </c>
      <c r="H14" s="4">
        <v>48</v>
      </c>
      <c r="I14" s="4">
        <v>134400</v>
      </c>
      <c r="J14" s="4" t="s">
        <v>38</v>
      </c>
      <c r="K14" s="4" t="s">
        <v>38</v>
      </c>
      <c r="L14" s="4" t="s">
        <v>38</v>
      </c>
      <c r="M14" s="4" t="s">
        <v>38</v>
      </c>
      <c r="N14" s="4" t="s">
        <v>38</v>
      </c>
      <c r="O14" s="4">
        <v>184800</v>
      </c>
      <c r="P14" s="4">
        <v>165081.84</v>
      </c>
      <c r="Q14" s="4">
        <v>116467.09</v>
      </c>
      <c r="R14" s="4" t="s">
        <v>38</v>
      </c>
      <c r="S14" s="4">
        <v>281548.93</v>
      </c>
    </row>
    <row r="15" spans="1:19" ht="18.75" customHeight="1" x14ac:dyDescent="0.25">
      <c r="A15" s="6" t="s">
        <v>62</v>
      </c>
      <c r="B15" s="6"/>
      <c r="C15" s="6"/>
      <c r="D15" s="4">
        <v>27096.19</v>
      </c>
      <c r="E15" s="4">
        <v>10840.51</v>
      </c>
      <c r="F15" s="4">
        <v>9</v>
      </c>
      <c r="G15" s="4">
        <v>22302</v>
      </c>
      <c r="H15" s="4">
        <v>48</v>
      </c>
      <c r="I15" s="4">
        <v>79296</v>
      </c>
      <c r="J15" s="4" t="s">
        <v>38</v>
      </c>
      <c r="K15" s="4" t="s">
        <v>38</v>
      </c>
      <c r="L15" s="4" t="s">
        <v>38</v>
      </c>
      <c r="M15" s="4" t="s">
        <v>38</v>
      </c>
      <c r="N15" s="4" t="s">
        <v>38</v>
      </c>
      <c r="O15" s="4">
        <v>101598</v>
      </c>
      <c r="P15" s="4">
        <v>90757.49</v>
      </c>
      <c r="Q15" s="4" t="s">
        <v>38</v>
      </c>
      <c r="R15" s="4">
        <v>371464.78</v>
      </c>
      <c r="S15" s="4">
        <v>462222.27</v>
      </c>
    </row>
    <row r="16" spans="1:19" ht="15" x14ac:dyDescent="0.25">
      <c r="A16" s="6" t="s">
        <v>63</v>
      </c>
      <c r="B16" s="6"/>
      <c r="C16" s="6"/>
      <c r="D16" s="4">
        <v>53366.67</v>
      </c>
      <c r="E16" s="4">
        <v>21350.67</v>
      </c>
      <c r="F16" s="4">
        <v>14</v>
      </c>
      <c r="G16" s="4">
        <v>60900</v>
      </c>
      <c r="H16" s="4">
        <v>48</v>
      </c>
      <c r="I16" s="4">
        <v>139200</v>
      </c>
      <c r="J16" s="4" t="s">
        <v>38</v>
      </c>
      <c r="K16" s="4" t="s">
        <v>38</v>
      </c>
      <c r="L16" s="4" t="s">
        <v>38</v>
      </c>
      <c r="M16" s="4" t="s">
        <v>38</v>
      </c>
      <c r="N16" s="4" t="s">
        <v>38</v>
      </c>
      <c r="O16" s="4">
        <v>200100</v>
      </c>
      <c r="P16" s="4">
        <v>178749.33</v>
      </c>
      <c r="Q16" s="4">
        <v>111188.34</v>
      </c>
      <c r="R16" s="4" t="s">
        <v>38</v>
      </c>
      <c r="S16" s="4">
        <v>289937.67</v>
      </c>
    </row>
    <row r="17" spans="1:19" ht="18.75" customHeight="1" x14ac:dyDescent="0.25">
      <c r="A17" s="6" t="s">
        <v>34</v>
      </c>
      <c r="B17" s="6"/>
      <c r="C17" s="6"/>
      <c r="D17" s="4">
        <f>SUM(D3:D16)</f>
        <v>368807.69999999995</v>
      </c>
      <c r="E17" s="4">
        <f t="shared" ref="E17:S17" si="0">SUM(E3:E16)</f>
        <v>147550.74</v>
      </c>
      <c r="F17" s="4">
        <f t="shared" si="0"/>
        <v>86</v>
      </c>
      <c r="G17" s="4">
        <f t="shared" si="0"/>
        <v>307572</v>
      </c>
      <c r="H17" s="4">
        <f t="shared" si="0"/>
        <v>476.85</v>
      </c>
      <c r="I17" s="4">
        <f t="shared" si="0"/>
        <v>1045284</v>
      </c>
      <c r="J17" s="4">
        <f t="shared" si="0"/>
        <v>16</v>
      </c>
      <c r="K17" s="4">
        <f t="shared" si="0"/>
        <v>0</v>
      </c>
      <c r="L17" s="4">
        <f t="shared" si="0"/>
        <v>24</v>
      </c>
      <c r="M17" s="4">
        <f t="shared" si="0"/>
        <v>30000</v>
      </c>
      <c r="N17" s="4">
        <f t="shared" si="0"/>
        <v>15000</v>
      </c>
      <c r="O17" s="4">
        <f t="shared" si="0"/>
        <v>1382856</v>
      </c>
      <c r="P17" s="4">
        <f t="shared" si="0"/>
        <v>1220305.26</v>
      </c>
      <c r="Q17" s="4">
        <f t="shared" si="0"/>
        <v>679507.69</v>
      </c>
      <c r="R17" s="4">
        <f t="shared" si="0"/>
        <v>2793373.49</v>
      </c>
      <c r="S17" s="4">
        <f t="shared" si="0"/>
        <v>4693186.4400000004</v>
      </c>
    </row>
  </sheetData>
  <mergeCells count="21">
    <mergeCell ref="A10:C10"/>
    <mergeCell ref="A17:C17"/>
    <mergeCell ref="F1:G1"/>
    <mergeCell ref="H1:I1"/>
    <mergeCell ref="J1:K1"/>
    <mergeCell ref="L1:M1"/>
    <mergeCell ref="A2:C2"/>
    <mergeCell ref="A1:C1"/>
    <mergeCell ref="A11:C11"/>
    <mergeCell ref="A12:C12"/>
    <mergeCell ref="A13:C13"/>
    <mergeCell ref="A14:C14"/>
    <mergeCell ref="A15:C15"/>
    <mergeCell ref="A16:C16"/>
    <mergeCell ref="A4:C4"/>
    <mergeCell ref="A5:C5"/>
    <mergeCell ref="A6:C6"/>
    <mergeCell ref="A7:C7"/>
    <mergeCell ref="A8:C8"/>
    <mergeCell ref="A9:C9"/>
    <mergeCell ref="A3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CC77E-0489-49FF-9254-ED0A28107046}">
  <dimension ref="A1:T12"/>
  <sheetViews>
    <sheetView workbookViewId="0">
      <selection activeCell="E13" sqref="E13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16.140625" bestFit="1" customWidth="1"/>
    <col min="5" max="5" width="14.28515625" customWidth="1"/>
    <col min="6" max="6" width="7.140625" bestFit="1" customWidth="1"/>
    <col min="7" max="7" width="14.28515625" customWidth="1"/>
    <col min="8" max="8" width="7.140625" bestFit="1" customWidth="1"/>
    <col min="9" max="9" width="14.28515625" customWidth="1"/>
    <col min="10" max="10" width="7.140625" bestFit="1" customWidth="1"/>
    <col min="11" max="11" width="14.28515625" customWidth="1"/>
    <col min="12" max="12" width="7.140625" bestFit="1" customWidth="1"/>
    <col min="13" max="13" width="14.28515625" customWidth="1"/>
    <col min="14" max="14" width="7.140625" bestFit="1" customWidth="1"/>
    <col min="15" max="20" width="14.28515625" customWidth="1"/>
  </cols>
  <sheetData>
    <row r="1" spans="1:20" ht="19.5" customHeight="1" x14ac:dyDescent="0.25">
      <c r="A1" s="8" t="s">
        <v>77</v>
      </c>
      <c r="B1" s="9"/>
      <c r="C1" s="10"/>
      <c r="D1" s="2"/>
      <c r="E1" s="2"/>
      <c r="F1" s="6" t="s">
        <v>76</v>
      </c>
      <c r="G1" s="6"/>
      <c r="H1" s="6" t="s">
        <v>40</v>
      </c>
      <c r="I1" s="6"/>
      <c r="J1" s="6" t="s">
        <v>75</v>
      </c>
      <c r="K1" s="6"/>
      <c r="L1" s="6" t="s">
        <v>42</v>
      </c>
      <c r="M1" s="6"/>
      <c r="N1" s="6" t="s">
        <v>74</v>
      </c>
      <c r="O1" s="6"/>
      <c r="P1" s="2" t="s">
        <v>45</v>
      </c>
      <c r="Q1" s="2" t="s">
        <v>46</v>
      </c>
      <c r="R1" s="2" t="s">
        <v>47</v>
      </c>
      <c r="S1" s="2" t="s">
        <v>49</v>
      </c>
      <c r="T1" s="2" t="s">
        <v>44</v>
      </c>
    </row>
    <row r="2" spans="1:20" ht="28.5" x14ac:dyDescent="0.25">
      <c r="A2" s="7" t="s">
        <v>1</v>
      </c>
      <c r="B2" s="7"/>
      <c r="C2" s="7"/>
      <c r="D2" s="3" t="s">
        <v>36</v>
      </c>
      <c r="E2" s="2" t="s">
        <v>37</v>
      </c>
      <c r="F2" s="3" t="s">
        <v>0</v>
      </c>
      <c r="G2" s="3" t="s">
        <v>35</v>
      </c>
      <c r="H2" s="3" t="s">
        <v>0</v>
      </c>
      <c r="I2" s="3" t="s">
        <v>35</v>
      </c>
      <c r="J2" s="3" t="s">
        <v>0</v>
      </c>
      <c r="K2" s="3" t="s">
        <v>35</v>
      </c>
      <c r="L2" s="3" t="s">
        <v>0</v>
      </c>
      <c r="M2" s="3" t="s">
        <v>35</v>
      </c>
      <c r="N2" s="3" t="s">
        <v>0</v>
      </c>
      <c r="O2" s="3" t="s">
        <v>35</v>
      </c>
      <c r="P2" s="3" t="s">
        <v>35</v>
      </c>
      <c r="Q2" s="3" t="s">
        <v>35</v>
      </c>
      <c r="R2" s="3" t="s">
        <v>35</v>
      </c>
      <c r="S2" s="3" t="s">
        <v>35</v>
      </c>
      <c r="T2" s="3" t="s">
        <v>35</v>
      </c>
    </row>
    <row r="3" spans="1:20" ht="15" customHeight="1" x14ac:dyDescent="0.25">
      <c r="A3" s="6" t="s">
        <v>73</v>
      </c>
      <c r="B3" s="6"/>
      <c r="C3" s="6"/>
      <c r="D3" s="4">
        <v>41445.18</v>
      </c>
      <c r="E3" s="4">
        <v>16581.18</v>
      </c>
      <c r="F3" s="4" t="s">
        <v>38</v>
      </c>
      <c r="G3" s="4" t="s">
        <v>38</v>
      </c>
      <c r="H3" s="4">
        <v>5</v>
      </c>
      <c r="I3" s="4">
        <v>21000</v>
      </c>
      <c r="J3" s="4" t="s">
        <v>38</v>
      </c>
      <c r="K3" s="4" t="s">
        <v>38</v>
      </c>
      <c r="L3" s="4">
        <v>48</v>
      </c>
      <c r="M3" s="4">
        <v>134400</v>
      </c>
      <c r="N3" s="4" t="s">
        <v>38</v>
      </c>
      <c r="O3" s="4" t="s">
        <v>38</v>
      </c>
      <c r="P3" s="4" t="s">
        <v>38</v>
      </c>
      <c r="Q3" s="4">
        <v>155400</v>
      </c>
      <c r="R3" s="4">
        <v>138818.82</v>
      </c>
      <c r="S3" s="4">
        <v>33044.31</v>
      </c>
      <c r="T3" s="4">
        <v>171863.13</v>
      </c>
    </row>
    <row r="4" spans="1:20" ht="15" customHeight="1" x14ac:dyDescent="0.25">
      <c r="A4" s="6" t="s">
        <v>72</v>
      </c>
      <c r="B4" s="6"/>
      <c r="C4" s="6"/>
      <c r="D4" s="4">
        <v>30083.759999999998</v>
      </c>
      <c r="E4" s="4">
        <v>12035.76</v>
      </c>
      <c r="F4" s="4" t="s">
        <v>38</v>
      </c>
      <c r="G4" s="4" t="s">
        <v>38</v>
      </c>
      <c r="H4" s="4">
        <v>0</v>
      </c>
      <c r="I4" s="4">
        <v>0</v>
      </c>
      <c r="J4" s="4">
        <v>30</v>
      </c>
      <c r="K4" s="4">
        <v>49560</v>
      </c>
      <c r="L4" s="4">
        <v>26.35</v>
      </c>
      <c r="M4" s="4">
        <v>63240</v>
      </c>
      <c r="N4" s="4" t="s">
        <v>38</v>
      </c>
      <c r="O4" s="4" t="s">
        <v>38</v>
      </c>
      <c r="P4" s="4" t="s">
        <v>38</v>
      </c>
      <c r="Q4" s="4">
        <v>112800</v>
      </c>
      <c r="R4" s="4">
        <v>100764.24</v>
      </c>
      <c r="S4" s="4">
        <v>312890.96000000002</v>
      </c>
      <c r="T4" s="4">
        <v>413655.2</v>
      </c>
    </row>
    <row r="5" spans="1:20" ht="15" customHeight="1" x14ac:dyDescent="0.25">
      <c r="A5" s="6" t="s">
        <v>71</v>
      </c>
      <c r="B5" s="6"/>
      <c r="C5" s="6"/>
      <c r="D5" s="4">
        <v>29603.7</v>
      </c>
      <c r="E5" s="4">
        <v>11843.7</v>
      </c>
      <c r="F5" s="4" t="s">
        <v>38</v>
      </c>
      <c r="G5" s="4" t="s">
        <v>38</v>
      </c>
      <c r="H5" s="4">
        <v>5</v>
      </c>
      <c r="I5" s="4">
        <v>15000</v>
      </c>
      <c r="J5" s="4" t="s">
        <v>38</v>
      </c>
      <c r="K5" s="4" t="s">
        <v>38</v>
      </c>
      <c r="L5" s="4">
        <v>48</v>
      </c>
      <c r="M5" s="4">
        <v>96000</v>
      </c>
      <c r="N5" s="4" t="s">
        <v>38</v>
      </c>
      <c r="O5" s="4" t="s">
        <v>38</v>
      </c>
      <c r="P5" s="4" t="s">
        <v>38</v>
      </c>
      <c r="Q5" s="4">
        <v>111000</v>
      </c>
      <c r="R5" s="4">
        <v>99156.3</v>
      </c>
      <c r="S5" s="4">
        <v>33044.31</v>
      </c>
      <c r="T5" s="4">
        <v>132200.60999999999</v>
      </c>
    </row>
    <row r="6" spans="1:20" ht="15" customHeight="1" x14ac:dyDescent="0.25">
      <c r="A6" s="6" t="s">
        <v>70</v>
      </c>
      <c r="B6" s="6"/>
      <c r="C6" s="6"/>
      <c r="D6" s="4">
        <v>48006</v>
      </c>
      <c r="E6" s="4">
        <v>19206</v>
      </c>
      <c r="F6" s="4" t="s">
        <v>38</v>
      </c>
      <c r="G6" s="4" t="s">
        <v>38</v>
      </c>
      <c r="H6" s="4">
        <v>8</v>
      </c>
      <c r="I6" s="4">
        <v>36000</v>
      </c>
      <c r="J6" s="4" t="s">
        <v>38</v>
      </c>
      <c r="K6" s="4" t="s">
        <v>38</v>
      </c>
      <c r="L6" s="4">
        <v>48</v>
      </c>
      <c r="M6" s="4">
        <v>144000</v>
      </c>
      <c r="N6" s="4" t="s">
        <v>38</v>
      </c>
      <c r="O6" s="4" t="s">
        <v>38</v>
      </c>
      <c r="P6" s="4">
        <v>10000</v>
      </c>
      <c r="Q6" s="4">
        <v>180000</v>
      </c>
      <c r="R6" s="4">
        <v>150794</v>
      </c>
      <c r="S6" s="4">
        <v>33044.31</v>
      </c>
      <c r="T6" s="4">
        <v>183838.31</v>
      </c>
    </row>
    <row r="7" spans="1:20" ht="15" customHeight="1" x14ac:dyDescent="0.25">
      <c r="A7" s="6" t="s">
        <v>69</v>
      </c>
      <c r="B7" s="6"/>
      <c r="C7" s="6"/>
      <c r="D7" s="4">
        <v>43205.4</v>
      </c>
      <c r="E7" s="4">
        <v>17285.400000000001</v>
      </c>
      <c r="F7" s="4" t="s">
        <v>38</v>
      </c>
      <c r="G7" s="4" t="s">
        <v>38</v>
      </c>
      <c r="H7" s="4">
        <v>4</v>
      </c>
      <c r="I7" s="4">
        <v>18000</v>
      </c>
      <c r="J7" s="4" t="s">
        <v>38</v>
      </c>
      <c r="K7" s="4" t="s">
        <v>38</v>
      </c>
      <c r="L7" s="4">
        <v>48</v>
      </c>
      <c r="M7" s="4">
        <v>144000</v>
      </c>
      <c r="N7" s="4" t="s">
        <v>38</v>
      </c>
      <c r="O7" s="4" t="s">
        <v>38</v>
      </c>
      <c r="P7" s="4" t="s">
        <v>38</v>
      </c>
      <c r="Q7" s="4">
        <v>162000</v>
      </c>
      <c r="R7" s="4">
        <v>144714.6</v>
      </c>
      <c r="S7" s="4" t="s">
        <v>38</v>
      </c>
      <c r="T7" s="4">
        <v>144714.6</v>
      </c>
    </row>
    <row r="8" spans="1:20" ht="15" customHeight="1" x14ac:dyDescent="0.25">
      <c r="A8" s="6" t="s">
        <v>68</v>
      </c>
      <c r="B8" s="6"/>
      <c r="C8" s="6"/>
      <c r="D8" s="4">
        <v>37504.69</v>
      </c>
      <c r="E8" s="4">
        <v>15004.69</v>
      </c>
      <c r="F8" s="4" t="s">
        <v>38</v>
      </c>
      <c r="G8" s="4" t="s">
        <v>38</v>
      </c>
      <c r="H8" s="4">
        <v>5.5</v>
      </c>
      <c r="I8" s="4">
        <v>20625</v>
      </c>
      <c r="J8" s="4" t="s">
        <v>38</v>
      </c>
      <c r="K8" s="4" t="s">
        <v>38</v>
      </c>
      <c r="L8" s="4">
        <v>48</v>
      </c>
      <c r="M8" s="4">
        <v>120000</v>
      </c>
      <c r="N8" s="4" t="s">
        <v>38</v>
      </c>
      <c r="O8" s="4" t="s">
        <v>38</v>
      </c>
      <c r="P8" s="4" t="s">
        <v>38</v>
      </c>
      <c r="Q8" s="4">
        <v>140625</v>
      </c>
      <c r="R8" s="4">
        <v>125620.31</v>
      </c>
      <c r="S8" s="4">
        <v>33044.31</v>
      </c>
      <c r="T8" s="4">
        <v>158664.62</v>
      </c>
    </row>
    <row r="9" spans="1:20" ht="15" customHeight="1" x14ac:dyDescent="0.25">
      <c r="A9" s="6" t="s">
        <v>67</v>
      </c>
      <c r="B9" s="6"/>
      <c r="C9" s="6"/>
      <c r="D9" s="4">
        <v>34500.74</v>
      </c>
      <c r="E9" s="4">
        <v>13802.88</v>
      </c>
      <c r="F9" s="4" t="s">
        <v>38</v>
      </c>
      <c r="G9" s="4" t="s">
        <v>38</v>
      </c>
      <c r="H9" s="4">
        <v>0</v>
      </c>
      <c r="I9" s="4">
        <v>0</v>
      </c>
      <c r="J9" s="4" t="s">
        <v>38</v>
      </c>
      <c r="K9" s="4" t="s">
        <v>38</v>
      </c>
      <c r="L9" s="4">
        <v>43.1</v>
      </c>
      <c r="M9" s="4">
        <v>99130</v>
      </c>
      <c r="N9" s="4">
        <v>18.3</v>
      </c>
      <c r="O9" s="4">
        <v>30231.599999999999</v>
      </c>
      <c r="P9" s="4" t="s">
        <v>38</v>
      </c>
      <c r="Q9" s="4">
        <v>129361.60000000001</v>
      </c>
      <c r="R9" s="4">
        <v>115558.72</v>
      </c>
      <c r="S9" s="4">
        <v>271311.8</v>
      </c>
      <c r="T9" s="4">
        <v>386870.52</v>
      </c>
    </row>
    <row r="10" spans="1:20" ht="15" customHeight="1" x14ac:dyDescent="0.25">
      <c r="A10" s="6" t="s">
        <v>66</v>
      </c>
      <c r="B10" s="6"/>
      <c r="C10" s="6"/>
      <c r="D10" s="4">
        <v>0</v>
      </c>
      <c r="E10" s="4">
        <v>0</v>
      </c>
      <c r="F10" s="4" t="s">
        <v>38</v>
      </c>
      <c r="G10" s="4" t="s">
        <v>38</v>
      </c>
      <c r="H10" s="4">
        <v>0</v>
      </c>
      <c r="I10" s="4">
        <v>0</v>
      </c>
      <c r="J10" s="4" t="s">
        <v>38</v>
      </c>
      <c r="K10" s="4" t="s">
        <v>38</v>
      </c>
      <c r="L10" s="4">
        <v>0</v>
      </c>
      <c r="M10" s="4">
        <v>0</v>
      </c>
      <c r="N10" s="4" t="s">
        <v>38</v>
      </c>
      <c r="O10" s="4" t="s">
        <v>38</v>
      </c>
      <c r="P10" s="4" t="s">
        <v>38</v>
      </c>
      <c r="Q10" s="4">
        <v>0</v>
      </c>
      <c r="R10" s="4">
        <v>0</v>
      </c>
      <c r="S10" s="4">
        <v>70157.3</v>
      </c>
      <c r="T10" s="4">
        <v>70157.3</v>
      </c>
    </row>
    <row r="11" spans="1:20" ht="15" customHeight="1" x14ac:dyDescent="0.25">
      <c r="A11" s="6" t="s">
        <v>65</v>
      </c>
      <c r="B11" s="6"/>
      <c r="C11" s="6"/>
      <c r="D11" s="4">
        <v>62106.43</v>
      </c>
      <c r="E11" s="4">
        <v>24847.23</v>
      </c>
      <c r="F11" s="4">
        <v>96</v>
      </c>
      <c r="G11" s="4">
        <v>211200</v>
      </c>
      <c r="H11" s="4">
        <v>0</v>
      </c>
      <c r="I11" s="4">
        <v>0</v>
      </c>
      <c r="J11" s="4" t="s">
        <v>38</v>
      </c>
      <c r="K11" s="4" t="s">
        <v>38</v>
      </c>
      <c r="L11" s="4">
        <v>9.85</v>
      </c>
      <c r="M11" s="4">
        <v>21670</v>
      </c>
      <c r="N11" s="4" t="s">
        <v>38</v>
      </c>
      <c r="O11" s="4" t="s">
        <v>38</v>
      </c>
      <c r="P11" s="4" t="s">
        <v>38</v>
      </c>
      <c r="Q11" s="4">
        <v>232870</v>
      </c>
      <c r="R11" s="4">
        <v>208022.77</v>
      </c>
      <c r="S11" s="4">
        <v>6158.18</v>
      </c>
      <c r="T11" s="4">
        <v>214180.95</v>
      </c>
    </row>
    <row r="12" spans="1:20" ht="15" customHeight="1" x14ac:dyDescent="0.25">
      <c r="A12" s="6" t="s">
        <v>34</v>
      </c>
      <c r="B12" s="6"/>
      <c r="C12" s="6"/>
      <c r="D12" s="4">
        <v>326455.90000000002</v>
      </c>
      <c r="E12" s="4">
        <v>130606.84</v>
      </c>
      <c r="F12" s="4">
        <v>96</v>
      </c>
      <c r="G12" s="4">
        <v>211200</v>
      </c>
      <c r="H12" s="4">
        <v>27.5</v>
      </c>
      <c r="I12" s="4">
        <v>110625</v>
      </c>
      <c r="J12" s="4">
        <v>30</v>
      </c>
      <c r="K12" s="4">
        <v>49560</v>
      </c>
      <c r="L12" s="4">
        <v>319.3</v>
      </c>
      <c r="M12" s="4">
        <v>822440</v>
      </c>
      <c r="N12" s="4">
        <v>18.3</v>
      </c>
      <c r="O12" s="4">
        <v>30231.599999999999</v>
      </c>
      <c r="P12" s="4">
        <v>10000</v>
      </c>
      <c r="Q12" s="4">
        <v>1224056.6000000001</v>
      </c>
      <c r="R12" s="4">
        <v>1083449.76</v>
      </c>
      <c r="S12" s="4">
        <v>792695.48</v>
      </c>
      <c r="T12" s="4">
        <v>1876145.24</v>
      </c>
    </row>
  </sheetData>
  <mergeCells count="17">
    <mergeCell ref="A1:C1"/>
    <mergeCell ref="F1:G1"/>
    <mergeCell ref="H1:I1"/>
    <mergeCell ref="J1:K1"/>
    <mergeCell ref="N1:O1"/>
    <mergeCell ref="L1:M1"/>
    <mergeCell ref="A12:C12"/>
    <mergeCell ref="A7:C7"/>
    <mergeCell ref="A8:C8"/>
    <mergeCell ref="A9:C9"/>
    <mergeCell ref="A10:C10"/>
    <mergeCell ref="A11:C1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8FB07-2CF8-4AA8-9B31-0960A914AE19}">
  <dimension ref="A1:N15"/>
  <sheetViews>
    <sheetView topLeftCell="A4" workbookViewId="0">
      <selection activeCell="A10" sqref="A10:XFD10"/>
    </sheetView>
  </sheetViews>
  <sheetFormatPr baseColWidth="10" defaultRowHeight="15" x14ac:dyDescent="0.25"/>
  <cols>
    <col min="9" max="9" width="18.42578125" customWidth="1"/>
    <col min="10" max="11" width="13" bestFit="1" customWidth="1"/>
    <col min="12" max="12" width="19.28515625" bestFit="1" customWidth="1"/>
    <col min="13" max="13" width="29.85546875" bestFit="1" customWidth="1"/>
    <col min="14" max="14" width="14.140625" bestFit="1" customWidth="1"/>
  </cols>
  <sheetData>
    <row r="1" spans="1:14" ht="20.25" customHeight="1" x14ac:dyDescent="0.25">
      <c r="A1" s="8" t="s">
        <v>77</v>
      </c>
      <c r="B1" s="9"/>
      <c r="C1" s="10"/>
      <c r="D1" s="2"/>
      <c r="E1" s="2"/>
      <c r="F1" s="6" t="s">
        <v>40</v>
      </c>
      <c r="G1" s="6"/>
      <c r="H1" s="6" t="s">
        <v>42</v>
      </c>
      <c r="I1" s="6"/>
      <c r="J1" s="2" t="s">
        <v>46</v>
      </c>
      <c r="K1" s="2" t="s">
        <v>47</v>
      </c>
      <c r="L1" s="2" t="s">
        <v>48</v>
      </c>
      <c r="M1" s="2" t="s">
        <v>49</v>
      </c>
      <c r="N1" s="2" t="s">
        <v>44</v>
      </c>
    </row>
    <row r="2" spans="1:14" ht="42.75" x14ac:dyDescent="0.25">
      <c r="A2" s="7" t="s">
        <v>1</v>
      </c>
      <c r="B2" s="7"/>
      <c r="C2" s="7"/>
      <c r="D2" s="3" t="s">
        <v>36</v>
      </c>
      <c r="E2" s="2" t="s">
        <v>37</v>
      </c>
      <c r="F2" s="3" t="s">
        <v>0</v>
      </c>
      <c r="G2" s="3" t="s">
        <v>35</v>
      </c>
      <c r="H2" s="3" t="s">
        <v>0</v>
      </c>
      <c r="I2" s="3" t="s">
        <v>35</v>
      </c>
      <c r="J2" s="3" t="s">
        <v>35</v>
      </c>
      <c r="K2" s="3" t="s">
        <v>35</v>
      </c>
      <c r="L2" s="3" t="s">
        <v>35</v>
      </c>
      <c r="M2" s="3" t="s">
        <v>35</v>
      </c>
      <c r="N2" s="3" t="s">
        <v>35</v>
      </c>
    </row>
    <row r="3" spans="1:14" x14ac:dyDescent="0.25">
      <c r="A3" s="6" t="s">
        <v>89</v>
      </c>
      <c r="B3" s="6"/>
      <c r="C3" s="6"/>
      <c r="D3" s="4">
        <v>0</v>
      </c>
      <c r="E3" s="4">
        <v>0</v>
      </c>
      <c r="F3" s="4">
        <v>0</v>
      </c>
      <c r="G3" s="4">
        <v>0</v>
      </c>
      <c r="H3" s="4">
        <v>31.5</v>
      </c>
      <c r="I3" s="4">
        <v>52038</v>
      </c>
      <c r="J3" s="4">
        <v>52038</v>
      </c>
      <c r="K3" s="4">
        <v>52038</v>
      </c>
      <c r="L3" s="4" t="s">
        <v>38</v>
      </c>
      <c r="M3" s="4">
        <v>271674.08</v>
      </c>
      <c r="N3" s="4">
        <v>323712.08</v>
      </c>
    </row>
    <row r="4" spans="1:14" x14ac:dyDescent="0.25">
      <c r="A4" s="6" t="s">
        <v>88</v>
      </c>
      <c r="B4" s="6"/>
      <c r="C4" s="6"/>
      <c r="D4" s="4">
        <v>0</v>
      </c>
      <c r="E4" s="4">
        <v>0</v>
      </c>
      <c r="F4" s="4">
        <v>12</v>
      </c>
      <c r="G4" s="4">
        <v>36000</v>
      </c>
      <c r="H4" s="4">
        <v>48</v>
      </c>
      <c r="I4" s="4">
        <v>96000</v>
      </c>
      <c r="J4" s="4">
        <v>132000</v>
      </c>
      <c r="K4" s="4">
        <v>132000</v>
      </c>
      <c r="L4" s="4">
        <v>93822.31</v>
      </c>
      <c r="M4" s="4" t="s">
        <v>38</v>
      </c>
      <c r="N4" s="4">
        <v>225822.31</v>
      </c>
    </row>
    <row r="5" spans="1:14" x14ac:dyDescent="0.25">
      <c r="A5" s="6" t="s">
        <v>87</v>
      </c>
      <c r="B5" s="6"/>
      <c r="C5" s="6"/>
      <c r="D5" s="4">
        <v>0</v>
      </c>
      <c r="E5" s="4">
        <v>0</v>
      </c>
      <c r="F5" s="4">
        <v>3</v>
      </c>
      <c r="G5" s="4">
        <v>8100</v>
      </c>
      <c r="H5" s="4">
        <v>48</v>
      </c>
      <c r="I5" s="4">
        <v>86400</v>
      </c>
      <c r="J5" s="4">
        <v>94500</v>
      </c>
      <c r="K5" s="4">
        <v>94500</v>
      </c>
      <c r="L5" s="4" t="s">
        <v>38</v>
      </c>
      <c r="M5" s="4" t="s">
        <v>38</v>
      </c>
      <c r="N5" s="4">
        <v>94500</v>
      </c>
    </row>
    <row r="6" spans="1:14" x14ac:dyDescent="0.25">
      <c r="A6" s="6" t="s">
        <v>86</v>
      </c>
      <c r="B6" s="6"/>
      <c r="C6" s="6"/>
      <c r="D6" s="4">
        <v>0</v>
      </c>
      <c r="E6" s="4">
        <v>0</v>
      </c>
      <c r="F6" s="4">
        <v>9</v>
      </c>
      <c r="G6" s="4">
        <v>22302</v>
      </c>
      <c r="H6" s="4">
        <v>48</v>
      </c>
      <c r="I6" s="4">
        <v>79296</v>
      </c>
      <c r="J6" s="4">
        <v>101598</v>
      </c>
      <c r="K6" s="4">
        <v>101598</v>
      </c>
      <c r="L6" s="4" t="s">
        <v>38</v>
      </c>
      <c r="M6" s="4">
        <v>420044.52</v>
      </c>
      <c r="N6" s="4">
        <v>521642.52</v>
      </c>
    </row>
    <row r="7" spans="1:14" x14ac:dyDescent="0.25">
      <c r="A7" s="6" t="s">
        <v>85</v>
      </c>
      <c r="B7" s="6"/>
      <c r="C7" s="6"/>
      <c r="D7" s="4">
        <v>0</v>
      </c>
      <c r="E7" s="4">
        <v>0</v>
      </c>
      <c r="F7" s="4">
        <v>8</v>
      </c>
      <c r="G7" s="4">
        <v>26400</v>
      </c>
      <c r="H7" s="4">
        <v>56</v>
      </c>
      <c r="I7" s="4">
        <v>123200</v>
      </c>
      <c r="J7" s="4">
        <v>149600</v>
      </c>
      <c r="K7" s="4">
        <v>149600</v>
      </c>
      <c r="L7" s="4">
        <v>45993.26</v>
      </c>
      <c r="M7" s="4" t="s">
        <v>38</v>
      </c>
      <c r="N7" s="4">
        <v>195593.26</v>
      </c>
    </row>
    <row r="8" spans="1:14" x14ac:dyDescent="0.25">
      <c r="A8" s="6" t="s">
        <v>84</v>
      </c>
      <c r="B8" s="6"/>
      <c r="C8" s="6"/>
      <c r="D8" s="4">
        <v>0</v>
      </c>
      <c r="E8" s="4">
        <v>0</v>
      </c>
      <c r="F8" s="4">
        <v>0</v>
      </c>
      <c r="G8" s="4">
        <v>0</v>
      </c>
      <c r="H8" s="4">
        <v>12.35</v>
      </c>
      <c r="I8" s="4">
        <v>24700</v>
      </c>
      <c r="J8" s="4">
        <v>24700</v>
      </c>
      <c r="K8" s="4">
        <v>24700</v>
      </c>
      <c r="L8" s="4" t="s">
        <v>38</v>
      </c>
      <c r="M8" s="4">
        <v>10171.549999999999</v>
      </c>
      <c r="N8" s="4">
        <v>34871.550000000003</v>
      </c>
    </row>
    <row r="9" spans="1:14" x14ac:dyDescent="0.25">
      <c r="A9" s="6" t="s">
        <v>83</v>
      </c>
      <c r="B9" s="6"/>
      <c r="C9" s="6"/>
      <c r="D9" s="4">
        <v>0</v>
      </c>
      <c r="E9" s="4">
        <v>0</v>
      </c>
      <c r="F9" s="4">
        <v>12</v>
      </c>
      <c r="G9" s="4">
        <v>50400</v>
      </c>
      <c r="H9" s="4">
        <v>48</v>
      </c>
      <c r="I9" s="4">
        <v>134400</v>
      </c>
      <c r="J9" s="4">
        <v>184800</v>
      </c>
      <c r="K9" s="4">
        <v>184800</v>
      </c>
      <c r="L9" s="4">
        <v>116467.09</v>
      </c>
      <c r="M9" s="4" t="s">
        <v>38</v>
      </c>
      <c r="N9" s="4">
        <v>301267.09000000003</v>
      </c>
    </row>
    <row r="11" spans="1:14" x14ac:dyDescent="0.25">
      <c r="A11" s="6" t="s">
        <v>81</v>
      </c>
      <c r="B11" s="6"/>
      <c r="C11" s="6"/>
      <c r="D11" s="4">
        <v>0</v>
      </c>
      <c r="E11" s="4">
        <v>0</v>
      </c>
      <c r="F11" s="4">
        <v>12</v>
      </c>
      <c r="G11" s="4">
        <v>36000</v>
      </c>
      <c r="H11" s="4">
        <v>48</v>
      </c>
      <c r="I11" s="4">
        <v>96000</v>
      </c>
      <c r="J11" s="4">
        <v>132000</v>
      </c>
      <c r="K11" s="4">
        <v>132000</v>
      </c>
      <c r="L11" s="4">
        <v>111188.34</v>
      </c>
      <c r="M11" s="4" t="s">
        <v>38</v>
      </c>
      <c r="N11" s="4">
        <v>243188.34</v>
      </c>
    </row>
    <row r="12" spans="1:14" x14ac:dyDescent="0.25">
      <c r="A12" s="6" t="s">
        <v>80</v>
      </c>
      <c r="B12" s="6"/>
      <c r="C12" s="6"/>
      <c r="D12" s="4">
        <v>0</v>
      </c>
      <c r="E12" s="4">
        <v>0</v>
      </c>
      <c r="F12" s="4">
        <v>0</v>
      </c>
      <c r="G12" s="4">
        <v>0</v>
      </c>
      <c r="H12" s="4">
        <v>26.85</v>
      </c>
      <c r="I12" s="4">
        <v>44356.2</v>
      </c>
      <c r="J12" s="4">
        <v>44356.2</v>
      </c>
      <c r="K12" s="4">
        <v>44356.2</v>
      </c>
      <c r="L12" s="4" t="s">
        <v>38</v>
      </c>
      <c r="M12" s="4">
        <v>170260.83</v>
      </c>
      <c r="N12" s="4">
        <v>214617.03</v>
      </c>
    </row>
    <row r="13" spans="1:14" x14ac:dyDescent="0.25">
      <c r="A13" s="6" t="s">
        <v>79</v>
      </c>
      <c r="B13" s="6"/>
      <c r="C13" s="6"/>
      <c r="D13" s="4">
        <v>0</v>
      </c>
      <c r="E13" s="4">
        <v>0</v>
      </c>
      <c r="F13" s="4">
        <v>0</v>
      </c>
      <c r="G13" s="4">
        <v>0</v>
      </c>
      <c r="H13" s="4">
        <v>39.4</v>
      </c>
      <c r="I13" s="4">
        <v>65088.800000000003</v>
      </c>
      <c r="J13" s="4">
        <v>65088.800000000003</v>
      </c>
      <c r="K13" s="4">
        <v>65088.800000000003</v>
      </c>
      <c r="L13" s="4" t="s">
        <v>38</v>
      </c>
      <c r="M13" s="4">
        <v>288189.21999999997</v>
      </c>
      <c r="N13" s="4">
        <v>353278.02</v>
      </c>
    </row>
    <row r="14" spans="1:14" x14ac:dyDescent="0.25">
      <c r="A14" s="6" t="s">
        <v>78</v>
      </c>
      <c r="B14" s="6"/>
      <c r="C14" s="6"/>
      <c r="D14" s="4">
        <v>0</v>
      </c>
      <c r="E14" s="4">
        <v>0</v>
      </c>
      <c r="F14" s="4">
        <v>0</v>
      </c>
      <c r="G14" s="4">
        <v>0</v>
      </c>
      <c r="H14" s="4">
        <v>37.4</v>
      </c>
      <c r="I14" s="4">
        <v>74800</v>
      </c>
      <c r="J14" s="4">
        <v>74800</v>
      </c>
      <c r="K14" s="4">
        <v>74800</v>
      </c>
      <c r="L14" s="4" t="s">
        <v>38</v>
      </c>
      <c r="M14" s="4">
        <v>33044.31</v>
      </c>
      <c r="N14" s="4">
        <v>107844.31</v>
      </c>
    </row>
    <row r="15" spans="1:14" x14ac:dyDescent="0.25">
      <c r="A15" s="6" t="s">
        <v>34</v>
      </c>
      <c r="B15" s="6"/>
      <c r="C15" s="6"/>
      <c r="D15" s="4">
        <v>35204.400000000001</v>
      </c>
      <c r="E15" s="4">
        <v>14084.4</v>
      </c>
      <c r="F15" s="4">
        <v>68</v>
      </c>
      <c r="G15" s="4">
        <v>215202</v>
      </c>
      <c r="H15" s="4">
        <v>491.5</v>
      </c>
      <c r="I15" s="4">
        <v>972279</v>
      </c>
      <c r="J15" s="4">
        <v>1187481</v>
      </c>
      <c r="K15" s="4">
        <v>1173396.6000000001</v>
      </c>
      <c r="L15" s="4">
        <v>495106.12</v>
      </c>
      <c r="M15" s="4">
        <v>1193384.51</v>
      </c>
      <c r="N15" s="4">
        <v>2861887.23</v>
      </c>
    </row>
  </sheetData>
  <mergeCells count="16">
    <mergeCell ref="A1:C1"/>
    <mergeCell ref="F1:G1"/>
    <mergeCell ref="H1:I1"/>
    <mergeCell ref="A12:C12"/>
    <mergeCell ref="A13:C13"/>
    <mergeCell ref="A2:C2"/>
    <mergeCell ref="A3:C3"/>
    <mergeCell ref="A4:C4"/>
    <mergeCell ref="A5:C5"/>
    <mergeCell ref="A6:C6"/>
    <mergeCell ref="A15:C15"/>
    <mergeCell ref="A7:C7"/>
    <mergeCell ref="A8:C8"/>
    <mergeCell ref="A9:C9"/>
    <mergeCell ref="A11:C11"/>
    <mergeCell ref="A14:C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LA LUNA</vt:lpstr>
      <vt:lpstr>COYOL</vt:lpstr>
      <vt:lpstr>ESH</vt:lpstr>
      <vt:lpstr>ESPECIAL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Abner Carrillo</cp:lastModifiedBy>
  <dcterms:modified xsi:type="dcterms:W3CDTF">2025-01-15T18:05:19Z</dcterms:modified>
</cp:coreProperties>
</file>