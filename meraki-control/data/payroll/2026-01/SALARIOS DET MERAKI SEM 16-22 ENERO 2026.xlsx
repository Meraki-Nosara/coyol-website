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BILIDAD ENERO 2026\"/>
    </mc:Choice>
  </mc:AlternateContent>
  <xr:revisionPtr revIDLastSave="0" documentId="13_ncr:1_{A93CA5CD-DAF0-4C7E-8EB1-ACDF5B8EAB2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<sst xmlns="http://schemas.openxmlformats.org/spreadsheetml/2006/main" count="379" uniqueCount="87">
  <si>
    <t>Cantidad</t>
  </si>
  <si>
    <t>Desc. empleado</t>
  </si>
  <si>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</si>
  <si>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</si>
  <si>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</si>
  <si>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</si>
  <si>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</si>
  <si>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</si>
  <si>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</si>
  <si>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</si>
  <si>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</si>
  <si>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</si>
  <si>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</si>
  <si>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EVELYN UGALDE RODRIGUEZ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</si>
  <si>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</si>
  <si>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</si>
  <si>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</si>
  <si>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</si>
  <si>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</si>
  <si>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</si>
  <si>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</si>
  <si>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</si>
  <si>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</si>
  <si>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</si>
  <si>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</si>
  <si>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</si>
  <si>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</si>
  <si>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MARIA NELA HERNANDEZ GUTIERREZ</t>
  </si>
  <si>
    <t>MARIA TERESA SABALLO MAYORGA</t>
  </si>
  <si>
    <t>MARISELA DEL CARMEN MENDOZA CALERO</t>
  </si>
  <si>
    <t>NIELSI SELENE NAVARRETE GOMEZ</t>
  </si>
  <si>
    <t>ROSAURA CASTILLO ALVARADO</t>
  </si>
  <si>
    <t>SHARON TATIANA MATARRITA SEGURA</t>
  </si>
  <si>
    <t>SOFIA NATALIA CAMPOS BRENEZ</t>
  </si>
  <si>
    <t>VERONICA MEJIA GONZALES</t>
  </si>
  <si>
    <t>YERLING CARRILLO LEAL</t>
  </si>
  <si>
    <t>ZELANDIA CRUZ BRENES</t>
  </si>
  <si>
    <t>Total general</t>
  </si>
  <si>
    <t>Monto</t>
  </si>
  <si>
    <t>Aporte patronal CCSS</t>
  </si>
  <si>
    <t>CCSS  (10.83%)</t>
  </si>
  <si>
    <t>Horas Apoyo Esh</t>
  </si>
  <si>
    <t/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</si>
  <si>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</si>
  <si>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</si>
  <si>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</si>
  <si>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</si>
  <si>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</si>
  <si>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</si>
  <si>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</si>
  <si>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</si>
  <si>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16-22 ENERO 2026</t>
  </si>
  <si>
    <t>NOMINA COYOL SEM 16-22 ENERO 2026</t>
  </si>
  <si>
    <t>Incapacidad no pagada</t>
  </si>
  <si>
    <t>ALVARO LUIS PIÑAR JIMENEZ</t>
  </si>
  <si>
    <t>ANDRES TROCONIS ROMERO</t>
  </si>
  <si>
    <t>ANTHONY WRIGHT JIMENEZ</t>
  </si>
  <si>
    <t>AURORA MARIA PRENDAS HERNANDEZ</t>
  </si>
  <si>
    <t>GEORGE DANIEL LOPEZ GOMEZ</t>
  </si>
  <si>
    <t>JOHN FREISER LOPEZ JIMENEZ</t>
  </si>
  <si>
    <t>JOSUE EMANUEL ORTEGA BARRANTES</t>
  </si>
  <si>
    <t>LEINER RODRIGUEZ VILLALOBOS</t>
  </si>
  <si>
    <t>LUIS ALEJANDRO ARCE ALFARO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</si>
  <si>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</si>
  <si>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</si>
  <si>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</si>
  <si>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</si>
  <si>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</si>
  <si>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NOMINA ESH SEM 16-22 ENERO 2026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</si>
  <si>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</si>
  <si>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</si>
  <si>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</si>
  <si>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</si>
  <si>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</si>
  <si>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</si>
  <si>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</si>
  <si>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</si>
  <si>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</si>
  <si>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NOMINA ESPECIAL SEM 16-22 ENERO 2026</t>
  </si>
  <si>
    <t>Horas Regulares Cocina (2500)</t>
  </si>
  <si>
    <t>Trampas de Grasa</t>
  </si>
  <si>
    <t>ALEJANDRO COYOL</t>
  </si>
  <si>
    <t>ELVIN JAVIER LOPEZ LOPEZ</t>
  </si>
  <si>
    <t>JASSON ESPINOZA MUÑOZ</t>
  </si>
  <si>
    <t>MARCO GERVASINI</t>
  </si>
  <si>
    <t>RAUL RODRIGUEZ MONTIEL</t>
  </si>
  <si>
    <t>RONALD CRUZ PILA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</si>
</sst>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showGridLines="0" workbookViewId="0">
      <selection activeCell="H11" sqref="H1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2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7" width="14.28515625" customWidth="1"/>
  </cols>
  <sheetData>
    <row r="1" spans="1:17" ht="15" customHeight="1" x14ac:dyDescent="0.25">
      <c r="A1" s="8" t="s">
        <v>51</v>
      </c>
      <c r="B1" s="9"/>
      <c r="C1" s="10"/>
      <c r="D1" s="3"/>
      <c r="E1" s="3"/>
      <c r="F1" s="4" t="s">
        <v>41</v>
      </c>
      <c r="G1" s="4"/>
      <c r="H1" s="4" t="s">
        <v>43</v>
      </c>
      <c r="I1" s="4"/>
      <c r="J1" s="4" t="s">
        <v>44</v>
      </c>
      <c r="K1" s="4"/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45</v>
      </c>
    </row>
    <row r="2" spans="1:17" ht="15" customHeight="1" x14ac:dyDescent="0.25">
      <c r="A2" s="5" t="s">
        <v>1</v>
      </c>
      <c r="B2" s="5"/>
      <c r="C2" s="5"/>
      <c r="D2" s="6" t="s">
        <v>39</v>
      </c>
      <c r="E2" s="3" t="s">
        <v>40</v>
      </c>
      <c r="F2" s="6" t="s">
        <v>0</v>
      </c>
      <c r="G2" s="6" t="s">
        <v>38</v>
      </c>
      <c r="H2" s="6" t="s">
        <v>0</v>
      </c>
      <c r="I2" s="6" t="s">
        <v>38</v>
      </c>
      <c r="J2" s="6" t="s">
        <v>0</v>
      </c>
      <c r="K2" s="6" t="s">
        <v>38</v>
      </c>
      <c r="L2" s="6" t="s">
        <v>38</v>
      </c>
      <c r="M2" s="6" t="s">
        <v>38</v>
      </c>
      <c r="N2" s="6" t="s">
        <v>38</v>
      </c>
      <c r="O2" s="6" t="s">
        <v>38</v>
      </c>
      <c r="P2" s="6" t="s">
        <v>38</v>
      </c>
      <c r="Q2" s="6" t="s">
        <v>38</v>
      </c>
    </row>
    <row r="3" spans="1:17" ht="15" customHeight="1" x14ac:dyDescent="0.25">
      <c r="A3" s="1" t="s">
        <v>2</v>
      </c>
      <c r="B3" s="1"/>
      <c r="C3" s="1"/>
      <c r="D3" s="2">
        <v>28332.48</v>
      </c>
      <c r="E3" s="2">
        <v>11436.48</v>
      </c>
      <c r="F3" s="2" t="s">
        <v>42</v>
      </c>
      <c r="G3" s="2" t="s">
        <v>42</v>
      </c>
      <c r="H3" s="2">
        <v>0</v>
      </c>
      <c r="I3" s="2">
        <v>0</v>
      </c>
      <c r="J3" s="2">
        <v>48</v>
      </c>
      <c r="K3" s="2">
        <v>105600</v>
      </c>
      <c r="L3" s="2" t="s">
        <v>42</v>
      </c>
      <c r="M3" s="2">
        <v>105600</v>
      </c>
      <c r="N3" s="2">
        <v>94163.520000000004</v>
      </c>
      <c r="O3" s="2">
        <v>68812.86</v>
      </c>
      <c r="P3" s="2" t="s">
        <v>42</v>
      </c>
      <c r="Q3" s="2">
        <v>162976.38</v>
      </c>
    </row>
    <row r="4" spans="1:17" ht="15" customHeight="1" x14ac:dyDescent="0.25">
      <c r="A4" s="1" t="s">
        <v>3</v>
      </c>
      <c r="B4" s="1"/>
      <c r="C4" s="1"/>
      <c r="D4" s="2">
        <v>28171.5</v>
      </c>
      <c r="E4" s="2">
        <v>11371.5</v>
      </c>
      <c r="F4" s="2" t="s">
        <v>42</v>
      </c>
      <c r="G4" s="2" t="s">
        <v>42</v>
      </c>
      <c r="H4" s="2">
        <v>3</v>
      </c>
      <c r="I4" s="2">
        <v>9000</v>
      </c>
      <c r="J4" s="2">
        <v>48</v>
      </c>
      <c r="K4" s="2">
        <v>96000</v>
      </c>
      <c r="L4" s="2" t="s">
        <v>42</v>
      </c>
      <c r="M4" s="2">
        <v>105000</v>
      </c>
      <c r="N4" s="2">
        <v>93628.5</v>
      </c>
      <c r="O4" s="2">
        <v>69214.320000000007</v>
      </c>
      <c r="P4" s="2" t="s">
        <v>42</v>
      </c>
      <c r="Q4" s="2">
        <v>162842.82</v>
      </c>
    </row>
    <row r="5" spans="1:17" ht="15" customHeight="1" x14ac:dyDescent="0.25">
      <c r="A5" s="1" t="s">
        <v>4</v>
      </c>
      <c r="B5" s="1"/>
      <c r="C5" s="1"/>
      <c r="D5" s="2">
        <v>32646.74</v>
      </c>
      <c r="E5" s="2">
        <v>13177.94</v>
      </c>
      <c r="F5" s="2" t="s">
        <v>42</v>
      </c>
      <c r="G5" s="2" t="s">
        <v>42</v>
      </c>
      <c r="H5" s="2">
        <v>0</v>
      </c>
      <c r="I5" s="2">
        <v>0</v>
      </c>
      <c r="J5" s="2">
        <v>46.8</v>
      </c>
      <c r="K5" s="2">
        <v>121680</v>
      </c>
      <c r="L5" s="2" t="s">
        <v>42</v>
      </c>
      <c r="M5" s="2">
        <v>121680</v>
      </c>
      <c r="N5" s="2">
        <v>108502.06</v>
      </c>
      <c r="O5" s="2">
        <v>33213.279999999999</v>
      </c>
      <c r="P5" s="2" t="s">
        <v>42</v>
      </c>
      <c r="Q5" s="2">
        <v>141715.34</v>
      </c>
    </row>
    <row r="6" spans="1:17" ht="15" customHeight="1" x14ac:dyDescent="0.25">
      <c r="A6" s="1" t="s">
        <v>5</v>
      </c>
      <c r="B6" s="1"/>
      <c r="C6" s="1"/>
      <c r="D6" s="2">
        <v>21275.119999999999</v>
      </c>
      <c r="E6" s="2">
        <v>8587.76</v>
      </c>
      <c r="F6" s="2" t="s">
        <v>42</v>
      </c>
      <c r="G6" s="2" t="s">
        <v>42</v>
      </c>
      <c r="H6" s="2">
        <v>0</v>
      </c>
      <c r="I6" s="2">
        <v>0</v>
      </c>
      <c r="J6" s="2">
        <v>48</v>
      </c>
      <c r="K6" s="2">
        <v>79296</v>
      </c>
      <c r="L6" s="2" t="s">
        <v>42</v>
      </c>
      <c r="M6" s="2">
        <v>79296</v>
      </c>
      <c r="N6" s="2">
        <v>70708.240000000005</v>
      </c>
      <c r="O6" s="2" t="s">
        <v>42</v>
      </c>
      <c r="P6" s="2">
        <v>486131.02</v>
      </c>
      <c r="Q6" s="2">
        <v>556839.26</v>
      </c>
    </row>
    <row r="7" spans="1:17" ht="15" customHeight="1" x14ac:dyDescent="0.25">
      <c r="A7" s="1" t="s">
        <v>6</v>
      </c>
      <c r="B7" s="1"/>
      <c r="C7" s="1"/>
      <c r="D7" s="2">
        <v>27044.639999999999</v>
      </c>
      <c r="E7" s="2">
        <v>10916.64</v>
      </c>
      <c r="F7" s="2" t="s">
        <v>42</v>
      </c>
      <c r="G7" s="2" t="s">
        <v>42</v>
      </c>
      <c r="H7" s="2">
        <v>0</v>
      </c>
      <c r="I7" s="2">
        <v>0</v>
      </c>
      <c r="J7" s="2">
        <v>48</v>
      </c>
      <c r="K7" s="2">
        <v>100800</v>
      </c>
      <c r="L7" s="2" t="s">
        <v>42</v>
      </c>
      <c r="M7" s="2">
        <v>100800</v>
      </c>
      <c r="N7" s="2">
        <v>89883.36</v>
      </c>
      <c r="O7" s="2" t="s">
        <v>42</v>
      </c>
      <c r="P7" s="2">
        <v>267618.69</v>
      </c>
      <c r="Q7" s="2">
        <v>357502.05</v>
      </c>
    </row>
    <row r="8" spans="1:17" ht="15" customHeight="1" x14ac:dyDescent="0.25">
      <c r="A8" s="1" t="s">
        <v>7</v>
      </c>
      <c r="B8" s="1"/>
      <c r="C8" s="1"/>
      <c r="D8" s="2">
        <v>25660.21</v>
      </c>
      <c r="E8" s="2">
        <v>10357.81</v>
      </c>
      <c r="F8" s="2" t="s">
        <v>42</v>
      </c>
      <c r="G8" s="2" t="s">
        <v>42</v>
      </c>
      <c r="H8" s="2">
        <v>0</v>
      </c>
      <c r="I8" s="2">
        <v>0</v>
      </c>
      <c r="J8" s="2">
        <v>39.85</v>
      </c>
      <c r="K8" s="2">
        <v>95640</v>
      </c>
      <c r="L8" s="2" t="s">
        <v>42</v>
      </c>
      <c r="M8" s="2">
        <v>95640</v>
      </c>
      <c r="N8" s="2">
        <v>85282.19</v>
      </c>
      <c r="O8" s="2">
        <v>72083.95</v>
      </c>
      <c r="P8" s="2" t="s">
        <v>42</v>
      </c>
      <c r="Q8" s="2">
        <v>157366.14000000001</v>
      </c>
    </row>
    <row r="9" spans="1:17" ht="15" customHeight="1" x14ac:dyDescent="0.25">
      <c r="A9" s="1" t="s">
        <v>8</v>
      </c>
      <c r="B9" s="1"/>
      <c r="C9" s="1"/>
      <c r="D9" s="2">
        <v>25756.799999999999</v>
      </c>
      <c r="E9" s="2">
        <v>10396.799999999999</v>
      </c>
      <c r="F9" s="2"/>
      <c r="G9" s="2"/>
      <c r="H9" s="2">
        <v>0</v>
      </c>
      <c r="I9" s="2">
        <v>0</v>
      </c>
      <c r="J9" s="2">
        <v>48</v>
      </c>
      <c r="K9" s="2">
        <v>96000</v>
      </c>
      <c r="L9" s="2" t="s">
        <v>42</v>
      </c>
      <c r="M9" s="2">
        <v>96000</v>
      </c>
      <c r="N9" s="2">
        <v>85603.199999999997</v>
      </c>
      <c r="O9" s="2" t="s">
        <v>42</v>
      </c>
      <c r="P9" s="2">
        <v>433978.96</v>
      </c>
      <c r="Q9" s="2">
        <v>519582.16</v>
      </c>
    </row>
    <row r="10" spans="1:17" ht="15" customHeight="1" x14ac:dyDescent="0.25">
      <c r="A10" s="1" t="s">
        <v>9</v>
      </c>
      <c r="B10" s="1"/>
      <c r="C10" s="1"/>
      <c r="D10" s="2">
        <v>17286.03</v>
      </c>
      <c r="E10" s="2">
        <v>6977.55</v>
      </c>
      <c r="F10" s="2" t="s">
        <v>42</v>
      </c>
      <c r="G10" s="2" t="s">
        <v>42</v>
      </c>
      <c r="H10" s="2">
        <v>0</v>
      </c>
      <c r="I10" s="2">
        <v>0</v>
      </c>
      <c r="J10" s="2">
        <v>39</v>
      </c>
      <c r="K10" s="2">
        <v>64428</v>
      </c>
      <c r="L10" s="2" t="s">
        <v>42</v>
      </c>
      <c r="M10" s="2">
        <v>64428</v>
      </c>
      <c r="N10" s="2">
        <v>57450.45</v>
      </c>
      <c r="O10" s="2" t="s">
        <v>42</v>
      </c>
      <c r="P10" s="2">
        <v>394943.76</v>
      </c>
      <c r="Q10" s="2">
        <v>452394.21</v>
      </c>
    </row>
    <row r="11" spans="1:17" ht="15" customHeight="1" x14ac:dyDescent="0.25">
      <c r="A11" s="1" t="s">
        <v>10</v>
      </c>
      <c r="B11" s="1"/>
      <c r="C11" s="1"/>
      <c r="D11" s="2">
        <v>35576.58</v>
      </c>
      <c r="E11" s="2">
        <v>14360.58</v>
      </c>
      <c r="F11" s="2" t="s">
        <v>42</v>
      </c>
      <c r="G11" s="2" t="s">
        <v>42</v>
      </c>
      <c r="H11" s="2">
        <v>2</v>
      </c>
      <c r="I11" s="2">
        <v>7800</v>
      </c>
      <c r="J11" s="2">
        <v>48</v>
      </c>
      <c r="K11" s="2">
        <v>124800</v>
      </c>
      <c r="L11" s="2" t="s">
        <v>42</v>
      </c>
      <c r="M11" s="2">
        <v>132600</v>
      </c>
      <c r="N11" s="2">
        <v>118239.42</v>
      </c>
      <c r="O11" s="2">
        <v>68812.86</v>
      </c>
      <c r="P11" s="2" t="s">
        <v>42</v>
      </c>
      <c r="Q11" s="2">
        <v>187052.28</v>
      </c>
    </row>
    <row r="12" spans="1:17" ht="15" customHeight="1" x14ac:dyDescent="0.25">
      <c r="A12" s="1" t="s">
        <v>11</v>
      </c>
      <c r="B12" s="1"/>
      <c r="C12" s="1"/>
      <c r="D12" s="2">
        <v>34771.68</v>
      </c>
      <c r="E12" s="2">
        <v>14035.68</v>
      </c>
      <c r="F12" s="2" t="s">
        <v>42</v>
      </c>
      <c r="G12" s="2" t="s">
        <v>42</v>
      </c>
      <c r="H12" s="2">
        <v>0</v>
      </c>
      <c r="I12" s="2">
        <v>0</v>
      </c>
      <c r="J12" s="2">
        <v>48</v>
      </c>
      <c r="K12" s="2">
        <v>129600</v>
      </c>
      <c r="L12" s="2" t="s">
        <v>42</v>
      </c>
      <c r="M12" s="2">
        <v>129600</v>
      </c>
      <c r="N12" s="2">
        <v>115564.32</v>
      </c>
      <c r="O12" s="2">
        <v>68812.86</v>
      </c>
      <c r="P12" s="2" t="s">
        <v>42</v>
      </c>
      <c r="Q12" s="2">
        <v>184377.18</v>
      </c>
    </row>
    <row r="13" spans="1:17" ht="15" customHeight="1" x14ac:dyDescent="0.25">
      <c r="A13" s="1" t="s">
        <v>12</v>
      </c>
      <c r="B13" s="1"/>
      <c r="C13" s="1"/>
      <c r="D13" s="2">
        <v>25139.71</v>
      </c>
      <c r="E13" s="2">
        <v>10147.709999999999</v>
      </c>
      <c r="F13" s="2" t="s">
        <v>42</v>
      </c>
      <c r="G13" s="2" t="s">
        <v>42</v>
      </c>
      <c r="H13" s="2">
        <v>0</v>
      </c>
      <c r="I13" s="2">
        <v>0</v>
      </c>
      <c r="J13" s="2">
        <v>46.85</v>
      </c>
      <c r="K13" s="2">
        <v>93700</v>
      </c>
      <c r="L13" s="2" t="s">
        <v>42</v>
      </c>
      <c r="M13" s="2">
        <v>93700</v>
      </c>
      <c r="N13" s="2">
        <v>83552.289999999994</v>
      </c>
      <c r="O13" s="2">
        <v>67882.09</v>
      </c>
      <c r="P13" s="2" t="s">
        <v>42</v>
      </c>
      <c r="Q13" s="2">
        <v>151434.38</v>
      </c>
    </row>
    <row r="14" spans="1:17" ht="15" customHeight="1" x14ac:dyDescent="0.25">
      <c r="A14" s="1" t="s">
        <v>13</v>
      </c>
      <c r="B14" s="1"/>
      <c r="C14" s="1"/>
      <c r="D14" s="2">
        <v>26561.7</v>
      </c>
      <c r="E14" s="2">
        <v>10721.7</v>
      </c>
      <c r="F14" s="2" t="s">
        <v>42</v>
      </c>
      <c r="G14" s="2" t="s">
        <v>42</v>
      </c>
      <c r="H14" s="2">
        <v>1</v>
      </c>
      <c r="I14" s="2">
        <v>3000</v>
      </c>
      <c r="J14" s="2">
        <v>48</v>
      </c>
      <c r="K14" s="2">
        <v>96000</v>
      </c>
      <c r="L14" s="2" t="s">
        <v>42</v>
      </c>
      <c r="M14" s="2">
        <v>99000</v>
      </c>
      <c r="N14" s="2">
        <v>88278.3</v>
      </c>
      <c r="O14" s="2">
        <v>65910.009999999995</v>
      </c>
      <c r="P14" s="2" t="s">
        <v>42</v>
      </c>
      <c r="Q14" s="2">
        <v>154188.31</v>
      </c>
    </row>
    <row r="15" spans="1:17" ht="15" customHeight="1" x14ac:dyDescent="0.25">
      <c r="A15" s="1" t="s">
        <v>14</v>
      </c>
      <c r="B15" s="1"/>
      <c r="C15" s="1"/>
      <c r="D15" s="2">
        <v>41532.839999999997</v>
      </c>
      <c r="E15" s="2">
        <v>16764.84</v>
      </c>
      <c r="F15" s="2" t="s">
        <v>42</v>
      </c>
      <c r="G15" s="2" t="s">
        <v>42</v>
      </c>
      <c r="H15" s="2">
        <v>11</v>
      </c>
      <c r="I15" s="2">
        <v>39600</v>
      </c>
      <c r="J15" s="2">
        <v>48</v>
      </c>
      <c r="K15" s="2">
        <v>115200</v>
      </c>
      <c r="L15" s="2" t="s">
        <v>42</v>
      </c>
      <c r="M15" s="2">
        <v>154800</v>
      </c>
      <c r="N15" s="2">
        <v>138035.16</v>
      </c>
      <c r="O15" s="2">
        <v>67882.09</v>
      </c>
      <c r="P15" s="2" t="s">
        <v>42</v>
      </c>
      <c r="Q15" s="2">
        <v>205917.25</v>
      </c>
    </row>
    <row r="16" spans="1:17" ht="15" customHeight="1" x14ac:dyDescent="0.25">
      <c r="A16" s="1" t="s">
        <v>15</v>
      </c>
      <c r="B16" s="1"/>
      <c r="C16" s="1"/>
      <c r="D16" s="2">
        <v>28332.48</v>
      </c>
      <c r="E16" s="2">
        <v>11436.48</v>
      </c>
      <c r="F16" s="2" t="s">
        <v>42</v>
      </c>
      <c r="G16" s="2" t="s">
        <v>42</v>
      </c>
      <c r="H16" s="2">
        <v>0</v>
      </c>
      <c r="I16" s="2">
        <v>0</v>
      </c>
      <c r="J16" s="2">
        <v>48</v>
      </c>
      <c r="K16" s="2">
        <v>105600</v>
      </c>
      <c r="L16" s="2" t="s">
        <v>42</v>
      </c>
      <c r="M16" s="2">
        <v>105600</v>
      </c>
      <c r="N16" s="2">
        <v>94163.520000000004</v>
      </c>
      <c r="O16" s="2">
        <v>66426.59</v>
      </c>
      <c r="P16" s="2" t="s">
        <v>42</v>
      </c>
      <c r="Q16" s="2">
        <v>160590.10999999999</v>
      </c>
    </row>
    <row r="17" spans="1:17" ht="15" customHeight="1" x14ac:dyDescent="0.25">
      <c r="A17" s="1" t="s">
        <v>16</v>
      </c>
      <c r="B17" s="1"/>
      <c r="C17" s="1"/>
      <c r="D17" s="2">
        <v>24951.9</v>
      </c>
      <c r="E17" s="2">
        <v>10071.9</v>
      </c>
      <c r="F17" s="2" t="s">
        <v>42</v>
      </c>
      <c r="G17" s="2" t="s">
        <v>42</v>
      </c>
      <c r="H17" s="2">
        <v>0</v>
      </c>
      <c r="I17" s="2">
        <v>0</v>
      </c>
      <c r="J17" s="2">
        <v>30</v>
      </c>
      <c r="K17" s="2">
        <v>93000</v>
      </c>
      <c r="L17" s="2" t="s">
        <v>42</v>
      </c>
      <c r="M17" s="2">
        <v>93000</v>
      </c>
      <c r="N17" s="2">
        <v>82928.100000000006</v>
      </c>
      <c r="O17" s="2" t="s">
        <v>42</v>
      </c>
      <c r="P17" s="2">
        <v>380178.45</v>
      </c>
      <c r="Q17" s="2">
        <v>463106.55</v>
      </c>
    </row>
    <row r="18" spans="1:17" ht="15" customHeight="1" x14ac:dyDescent="0.25">
      <c r="A18" s="1" t="s">
        <v>17</v>
      </c>
      <c r="B18" s="1"/>
      <c r="C18" s="1"/>
      <c r="D18" s="2">
        <v>21275.119999999999</v>
      </c>
      <c r="E18" s="2">
        <v>8587.76</v>
      </c>
      <c r="F18" s="2" t="s">
        <v>42</v>
      </c>
      <c r="G18" s="2" t="s">
        <v>42</v>
      </c>
      <c r="H18" s="2">
        <v>0</v>
      </c>
      <c r="I18" s="2">
        <v>0</v>
      </c>
      <c r="J18" s="2">
        <v>48</v>
      </c>
      <c r="K18" s="2">
        <v>79296</v>
      </c>
      <c r="L18" s="2" t="s">
        <v>42</v>
      </c>
      <c r="M18" s="2">
        <v>79296</v>
      </c>
      <c r="N18" s="2">
        <v>70708.240000000005</v>
      </c>
      <c r="O18" s="2" t="s">
        <v>42</v>
      </c>
      <c r="P18" s="2">
        <v>545351.64</v>
      </c>
      <c r="Q18" s="2">
        <v>616059.88</v>
      </c>
    </row>
    <row r="19" spans="1:17" ht="15" customHeight="1" x14ac:dyDescent="0.25">
      <c r="A19" s="1" t="s">
        <v>18</v>
      </c>
      <c r="B19" s="1"/>
      <c r="C19" s="1"/>
      <c r="D19" s="2">
        <v>38635.199999999997</v>
      </c>
      <c r="E19" s="2">
        <v>15595.2</v>
      </c>
      <c r="F19" s="2" t="s">
        <v>42</v>
      </c>
      <c r="G19" s="2" t="s">
        <v>42</v>
      </c>
      <c r="H19" s="2">
        <v>0</v>
      </c>
      <c r="I19" s="2">
        <v>0</v>
      </c>
      <c r="J19" s="2">
        <v>48</v>
      </c>
      <c r="K19" s="2">
        <v>144000</v>
      </c>
      <c r="L19" s="2">
        <v>10000</v>
      </c>
      <c r="M19" s="2">
        <v>144000</v>
      </c>
      <c r="N19" s="2">
        <v>118404.8</v>
      </c>
      <c r="O19" s="2">
        <v>44214.85</v>
      </c>
      <c r="P19" s="2" t="s">
        <v>42</v>
      </c>
      <c r="Q19" s="2">
        <v>162619.65</v>
      </c>
    </row>
    <row r="20" spans="1:17" ht="15" customHeight="1" x14ac:dyDescent="0.25">
      <c r="A20" s="1" t="s">
        <v>19</v>
      </c>
      <c r="B20" s="1"/>
      <c r="C20" s="1"/>
      <c r="D20" s="2">
        <v>28332.48</v>
      </c>
      <c r="E20" s="2">
        <v>11436.48</v>
      </c>
      <c r="F20" s="2">
        <f>G20/2200</f>
        <v>12</v>
      </c>
      <c r="G20" s="2">
        <v>26400</v>
      </c>
      <c r="H20" s="2">
        <v>0</v>
      </c>
      <c r="I20" s="2">
        <v>0</v>
      </c>
      <c r="J20" s="2">
        <v>44</v>
      </c>
      <c r="K20" s="2">
        <v>79200</v>
      </c>
      <c r="L20" s="2" t="s">
        <v>42</v>
      </c>
      <c r="M20" s="2">
        <v>105600</v>
      </c>
      <c r="N20" s="2">
        <v>94163.520000000004</v>
      </c>
      <c r="O20" s="2" t="s">
        <v>42</v>
      </c>
      <c r="P20" s="2">
        <v>653135.93999999994</v>
      </c>
      <c r="Q20" s="2">
        <v>747299.46</v>
      </c>
    </row>
    <row r="21" spans="1:17" ht="15" customHeight="1" x14ac:dyDescent="0.25">
      <c r="A21" s="1" t="s">
        <v>20</v>
      </c>
      <c r="B21" s="1"/>
      <c r="C21" s="1"/>
      <c r="D21" s="2">
        <v>15956.34</v>
      </c>
      <c r="E21" s="2">
        <v>6440.82</v>
      </c>
      <c r="F21" s="2" t="s">
        <v>42</v>
      </c>
      <c r="G21" s="2" t="s">
        <v>42</v>
      </c>
      <c r="H21" s="2">
        <v>0</v>
      </c>
      <c r="I21" s="2">
        <v>0</v>
      </c>
      <c r="J21" s="2">
        <v>36</v>
      </c>
      <c r="K21" s="2">
        <v>59472</v>
      </c>
      <c r="L21" s="2" t="s">
        <v>42</v>
      </c>
      <c r="M21" s="2">
        <v>59472</v>
      </c>
      <c r="N21" s="2">
        <v>53031.18</v>
      </c>
      <c r="O21" s="2" t="s">
        <v>42</v>
      </c>
      <c r="P21" s="2">
        <v>502403.9</v>
      </c>
      <c r="Q21" s="2">
        <v>555435.07999999996</v>
      </c>
    </row>
    <row r="22" spans="1:17" ht="15" customHeight="1" x14ac:dyDescent="0.25">
      <c r="A22" s="1" t="s">
        <v>21</v>
      </c>
      <c r="B22" s="1"/>
      <c r="C22" s="1"/>
      <c r="D22" s="2">
        <v>32196</v>
      </c>
      <c r="E22" s="2">
        <v>12996</v>
      </c>
      <c r="F22" s="2" t="s">
        <v>42</v>
      </c>
      <c r="G22" s="2" t="s">
        <v>42</v>
      </c>
      <c r="H22" s="2">
        <v>0</v>
      </c>
      <c r="I22" s="2">
        <v>0</v>
      </c>
      <c r="J22" s="2">
        <v>48</v>
      </c>
      <c r="K22" s="2">
        <v>120000</v>
      </c>
      <c r="L22" s="2" t="s">
        <v>42</v>
      </c>
      <c r="M22" s="2">
        <v>120000</v>
      </c>
      <c r="N22" s="2">
        <v>107004</v>
      </c>
      <c r="O22" s="2">
        <v>39862.949999999997</v>
      </c>
      <c r="P22" s="2" t="s">
        <v>42</v>
      </c>
      <c r="Q22" s="2">
        <v>146866.95000000001</v>
      </c>
    </row>
    <row r="23" spans="1:17" ht="15" customHeight="1" x14ac:dyDescent="0.25">
      <c r="A23" s="1" t="s">
        <v>22</v>
      </c>
      <c r="B23" s="1"/>
      <c r="C23" s="1"/>
      <c r="D23" s="2">
        <v>41170.639999999999</v>
      </c>
      <c r="E23" s="2">
        <v>16618.64</v>
      </c>
      <c r="F23" s="2" t="s">
        <v>42</v>
      </c>
      <c r="G23" s="2" t="s">
        <v>42</v>
      </c>
      <c r="H23" s="2">
        <v>1</v>
      </c>
      <c r="I23" s="2">
        <v>4650</v>
      </c>
      <c r="J23" s="2">
        <v>48</v>
      </c>
      <c r="K23" s="2">
        <v>148800</v>
      </c>
      <c r="L23" s="2">
        <v>25000</v>
      </c>
      <c r="M23" s="2">
        <v>153450</v>
      </c>
      <c r="N23" s="2">
        <v>111831.36</v>
      </c>
      <c r="O23" s="2">
        <v>67882.09</v>
      </c>
      <c r="P23" s="2" t="s">
        <v>42</v>
      </c>
      <c r="Q23" s="2">
        <v>179713.45</v>
      </c>
    </row>
    <row r="24" spans="1:17" ht="15" customHeight="1" x14ac:dyDescent="0.25">
      <c r="A24" s="1" t="s">
        <v>23</v>
      </c>
      <c r="B24" s="1"/>
      <c r="C24" s="1"/>
      <c r="D24" s="2">
        <v>47086.65</v>
      </c>
      <c r="E24" s="2">
        <v>19006.650000000001</v>
      </c>
      <c r="F24" s="2" t="s">
        <v>42</v>
      </c>
      <c r="G24" s="2" t="s">
        <v>42</v>
      </c>
      <c r="H24" s="2">
        <v>7</v>
      </c>
      <c r="I24" s="2">
        <v>31500</v>
      </c>
      <c r="J24" s="2">
        <v>48</v>
      </c>
      <c r="K24" s="2">
        <v>144000</v>
      </c>
      <c r="L24" s="2" t="s">
        <v>42</v>
      </c>
      <c r="M24" s="2">
        <v>175500</v>
      </c>
      <c r="N24" s="2">
        <v>156493.35</v>
      </c>
      <c r="O24" s="2" t="s">
        <v>42</v>
      </c>
      <c r="P24" s="2">
        <v>529636.51</v>
      </c>
      <c r="Q24" s="2">
        <v>686129.86</v>
      </c>
    </row>
    <row r="25" spans="1:17" ht="15" customHeight="1" x14ac:dyDescent="0.25">
      <c r="A25" s="1" t="s">
        <v>24</v>
      </c>
      <c r="B25" s="1"/>
      <c r="C25" s="1"/>
      <c r="D25" s="2">
        <v>19258.41</v>
      </c>
      <c r="E25" s="2">
        <v>7773.71</v>
      </c>
      <c r="F25" s="2" t="s">
        <v>42</v>
      </c>
      <c r="G25" s="2" t="s">
        <v>42</v>
      </c>
      <c r="H25" s="2">
        <v>0</v>
      </c>
      <c r="I25" s="2">
        <v>0</v>
      </c>
      <c r="J25" s="2">
        <v>43.45</v>
      </c>
      <c r="K25" s="2">
        <v>71779.399999999994</v>
      </c>
      <c r="L25" s="2" t="s">
        <v>42</v>
      </c>
      <c r="M25" s="2">
        <v>71779.399999999994</v>
      </c>
      <c r="N25" s="2">
        <v>64005.69</v>
      </c>
      <c r="O25" s="2" t="s">
        <v>42</v>
      </c>
      <c r="P25" s="2">
        <v>437313.14</v>
      </c>
      <c r="Q25" s="2">
        <v>501318.83</v>
      </c>
    </row>
    <row r="26" spans="1:17" ht="15" customHeight="1" x14ac:dyDescent="0.25">
      <c r="A26" s="1" t="s">
        <v>25</v>
      </c>
      <c r="B26" s="1"/>
      <c r="C26" s="1"/>
      <c r="D26" s="2">
        <v>15956.34</v>
      </c>
      <c r="E26" s="2">
        <v>6440.82</v>
      </c>
      <c r="F26" s="2" t="s">
        <v>42</v>
      </c>
      <c r="G26" s="2" t="s">
        <v>42</v>
      </c>
      <c r="H26" s="2">
        <v>0</v>
      </c>
      <c r="I26" s="2">
        <v>0</v>
      </c>
      <c r="J26" s="2">
        <v>36</v>
      </c>
      <c r="K26" s="2">
        <v>59472</v>
      </c>
      <c r="L26" s="2" t="s">
        <v>42</v>
      </c>
      <c r="M26" s="2">
        <v>59472</v>
      </c>
      <c r="N26" s="2">
        <v>53031.18</v>
      </c>
      <c r="O26" s="2" t="s">
        <v>42</v>
      </c>
      <c r="P26" s="2">
        <v>452787.37</v>
      </c>
      <c r="Q26" s="2">
        <v>505818.55</v>
      </c>
    </row>
    <row r="27" spans="1:17" ht="15" customHeight="1" x14ac:dyDescent="0.25">
      <c r="A27" s="1" t="s">
        <v>26</v>
      </c>
      <c r="B27" s="1"/>
      <c r="C27" s="1"/>
      <c r="D27" s="2">
        <v>30908.16</v>
      </c>
      <c r="E27" s="2">
        <v>12476.16</v>
      </c>
      <c r="F27" s="2" t="s">
        <v>42</v>
      </c>
      <c r="G27" s="2" t="s">
        <v>42</v>
      </c>
      <c r="H27" s="2">
        <v>0</v>
      </c>
      <c r="I27" s="2">
        <v>0</v>
      </c>
      <c r="J27" s="2">
        <v>48</v>
      </c>
      <c r="K27" s="2">
        <v>115200</v>
      </c>
      <c r="L27" s="2">
        <v>25000</v>
      </c>
      <c r="M27" s="2">
        <v>115200</v>
      </c>
      <c r="N27" s="2">
        <v>77723.839999999997</v>
      </c>
      <c r="O27" s="2">
        <v>65910.009999999995</v>
      </c>
      <c r="P27" s="2" t="s">
        <v>42</v>
      </c>
      <c r="Q27" s="2">
        <v>143633.85</v>
      </c>
    </row>
    <row r="28" spans="1:17" ht="15" customHeight="1" x14ac:dyDescent="0.25">
      <c r="A28" s="1" t="s">
        <v>27</v>
      </c>
      <c r="B28" s="1"/>
      <c r="C28" s="1"/>
      <c r="D28" s="2">
        <v>34771.68</v>
      </c>
      <c r="E28" s="2">
        <v>14035.68</v>
      </c>
      <c r="F28" s="2" t="s">
        <v>42</v>
      </c>
      <c r="G28" s="2" t="s">
        <v>42</v>
      </c>
      <c r="H28" s="2">
        <v>0</v>
      </c>
      <c r="I28" s="2">
        <v>0</v>
      </c>
      <c r="J28" s="2">
        <v>48</v>
      </c>
      <c r="K28" s="2">
        <v>129600</v>
      </c>
      <c r="L28" s="2" t="s">
        <v>42</v>
      </c>
      <c r="M28" s="2">
        <v>129600</v>
      </c>
      <c r="N28" s="2">
        <v>115564.32</v>
      </c>
      <c r="O28" s="2">
        <v>72083.95</v>
      </c>
      <c r="P28" s="2" t="s">
        <v>42</v>
      </c>
      <c r="Q28" s="2">
        <v>187648.27</v>
      </c>
    </row>
    <row r="29" spans="1:17" ht="15" customHeight="1" x14ac:dyDescent="0.25">
      <c r="A29" s="1" t="s">
        <v>28</v>
      </c>
      <c r="B29" s="1"/>
      <c r="C29" s="1"/>
      <c r="D29" s="2">
        <v>30256.19</v>
      </c>
      <c r="E29" s="2">
        <v>12212.99</v>
      </c>
      <c r="F29" s="2" t="s">
        <v>42</v>
      </c>
      <c r="G29" s="2" t="s">
        <v>42</v>
      </c>
      <c r="H29" s="2">
        <v>3.8</v>
      </c>
      <c r="I29" s="2">
        <v>11970</v>
      </c>
      <c r="J29" s="2">
        <v>48</v>
      </c>
      <c r="K29" s="2">
        <v>100800</v>
      </c>
      <c r="L29" s="2" t="s">
        <v>42</v>
      </c>
      <c r="M29" s="2">
        <v>112770</v>
      </c>
      <c r="N29" s="2">
        <v>100557.01</v>
      </c>
      <c r="O29" s="2">
        <v>68025.820000000007</v>
      </c>
      <c r="P29" s="2" t="s">
        <v>42</v>
      </c>
      <c r="Q29" s="2">
        <v>168582.83</v>
      </c>
    </row>
    <row r="30" spans="1:17" ht="15" customHeight="1" x14ac:dyDescent="0.25">
      <c r="A30" s="1" t="s">
        <v>29</v>
      </c>
      <c r="B30" s="1"/>
      <c r="C30" s="1"/>
      <c r="D30" s="2">
        <v>21866.45</v>
      </c>
      <c r="E30" s="2">
        <v>8826.4500000000007</v>
      </c>
      <c r="F30" s="2" t="s">
        <v>42</v>
      </c>
      <c r="G30" s="2" t="s">
        <v>42</v>
      </c>
      <c r="H30" s="2">
        <v>0</v>
      </c>
      <c r="I30" s="2">
        <v>0</v>
      </c>
      <c r="J30" s="2">
        <v>32.6</v>
      </c>
      <c r="K30" s="2">
        <v>81500</v>
      </c>
      <c r="L30" s="2" t="s">
        <v>42</v>
      </c>
      <c r="M30" s="2">
        <v>81500</v>
      </c>
      <c r="N30" s="2">
        <v>72673.55</v>
      </c>
      <c r="O30" s="2">
        <v>21703.53</v>
      </c>
      <c r="P30" s="2" t="s">
        <v>42</v>
      </c>
      <c r="Q30" s="2">
        <v>94377.08</v>
      </c>
    </row>
    <row r="31" spans="1:17" ht="15" customHeight="1" x14ac:dyDescent="0.25">
      <c r="A31" s="1" t="s">
        <v>30</v>
      </c>
      <c r="B31" s="1"/>
      <c r="C31" s="1"/>
      <c r="D31" s="2">
        <v>14737.45</v>
      </c>
      <c r="E31" s="2">
        <v>5948.81</v>
      </c>
      <c r="F31" s="2" t="s">
        <v>42</v>
      </c>
      <c r="G31" s="2" t="s">
        <v>42</v>
      </c>
      <c r="H31" s="2">
        <v>0</v>
      </c>
      <c r="I31" s="2">
        <v>0</v>
      </c>
      <c r="J31" s="2">
        <v>33.25</v>
      </c>
      <c r="K31" s="2">
        <v>54929</v>
      </c>
      <c r="L31" s="2" t="s">
        <v>42</v>
      </c>
      <c r="M31" s="2">
        <v>54929</v>
      </c>
      <c r="N31" s="2">
        <v>48980.19</v>
      </c>
      <c r="O31" s="2" t="s">
        <v>42</v>
      </c>
      <c r="P31" s="2">
        <v>428653.57</v>
      </c>
      <c r="Q31" s="2">
        <v>477633.76</v>
      </c>
    </row>
    <row r="32" spans="1:17" ht="15" customHeight="1" x14ac:dyDescent="0.25">
      <c r="A32" s="1" t="s">
        <v>31</v>
      </c>
      <c r="B32" s="1"/>
      <c r="C32" s="1"/>
      <c r="D32" s="2">
        <v>30586.2</v>
      </c>
      <c r="E32" s="2">
        <v>12346.2</v>
      </c>
      <c r="F32" s="2" t="s">
        <v>42</v>
      </c>
      <c r="G32" s="2" t="s">
        <v>42</v>
      </c>
      <c r="H32" s="2">
        <v>6</v>
      </c>
      <c r="I32" s="2">
        <v>18000</v>
      </c>
      <c r="J32" s="2">
        <v>48</v>
      </c>
      <c r="K32" s="2">
        <v>96000</v>
      </c>
      <c r="L32" s="2" t="s">
        <v>42</v>
      </c>
      <c r="M32" s="2">
        <v>114000</v>
      </c>
      <c r="N32" s="2">
        <v>101653.8</v>
      </c>
      <c r="O32" s="2" t="s">
        <v>42</v>
      </c>
      <c r="P32" s="2">
        <v>621023.68999999994</v>
      </c>
      <c r="Q32" s="2">
        <v>722677.49</v>
      </c>
    </row>
    <row r="33" spans="1:17" ht="15" customHeight="1" x14ac:dyDescent="0.25">
      <c r="A33" s="1" t="s">
        <v>32</v>
      </c>
      <c r="B33" s="1"/>
      <c r="C33" s="1"/>
      <c r="D33" s="2">
        <v>26695.85</v>
      </c>
      <c r="E33" s="2">
        <v>10775.85</v>
      </c>
      <c r="F33" s="2" t="s">
        <v>42</v>
      </c>
      <c r="G33" s="2" t="s">
        <v>42</v>
      </c>
      <c r="H33" s="2">
        <v>0</v>
      </c>
      <c r="I33" s="2">
        <v>0</v>
      </c>
      <c r="J33" s="2">
        <v>39.799999999999997</v>
      </c>
      <c r="K33" s="2">
        <v>99500</v>
      </c>
      <c r="L33" s="2" t="s">
        <v>42</v>
      </c>
      <c r="M33" s="2">
        <v>99500</v>
      </c>
      <c r="N33" s="2">
        <v>88724.15</v>
      </c>
      <c r="O33" s="2">
        <v>65910.009999999995</v>
      </c>
      <c r="P33" s="2" t="s">
        <v>42</v>
      </c>
      <c r="Q33" s="2">
        <v>154634.16</v>
      </c>
    </row>
    <row r="34" spans="1:17" ht="15" customHeight="1" x14ac:dyDescent="0.25">
      <c r="A34" s="1" t="s">
        <v>33</v>
      </c>
      <c r="B34" s="1"/>
      <c r="C34" s="1"/>
      <c r="D34" s="2">
        <v>0</v>
      </c>
      <c r="E34" s="2">
        <v>0</v>
      </c>
      <c r="F34" s="2" t="s">
        <v>42</v>
      </c>
      <c r="G34" s="2" t="s">
        <v>42</v>
      </c>
      <c r="H34" s="2">
        <v>0</v>
      </c>
      <c r="I34" s="2">
        <v>0</v>
      </c>
      <c r="J34" s="2">
        <v>0</v>
      </c>
      <c r="K34" s="2">
        <v>0</v>
      </c>
      <c r="L34" s="2" t="s">
        <v>42</v>
      </c>
      <c r="M34" s="2">
        <v>0</v>
      </c>
      <c r="N34" s="2">
        <v>0</v>
      </c>
      <c r="O34" s="2">
        <v>79725.94</v>
      </c>
      <c r="P34" s="2" t="s">
        <v>42</v>
      </c>
      <c r="Q34" s="2">
        <v>79725.94</v>
      </c>
    </row>
    <row r="35" spans="1:17" ht="15" customHeight="1" x14ac:dyDescent="0.25">
      <c r="A35" s="1" t="s">
        <v>34</v>
      </c>
      <c r="B35" s="1"/>
      <c r="C35" s="1"/>
      <c r="D35" s="2">
        <v>20831.89</v>
      </c>
      <c r="E35" s="2">
        <v>8408.85</v>
      </c>
      <c r="F35" s="2" t="s">
        <v>42</v>
      </c>
      <c r="G35" s="2" t="s">
        <v>42</v>
      </c>
      <c r="H35" s="2">
        <v>0</v>
      </c>
      <c r="I35" s="2">
        <v>0</v>
      </c>
      <c r="J35" s="2">
        <v>47</v>
      </c>
      <c r="K35" s="2">
        <v>77644</v>
      </c>
      <c r="L35" s="2" t="s">
        <v>42</v>
      </c>
      <c r="M35" s="2">
        <v>77644</v>
      </c>
      <c r="N35" s="2">
        <v>69235.149999999994</v>
      </c>
      <c r="O35" s="2" t="s">
        <v>42</v>
      </c>
      <c r="P35" s="2">
        <v>605335.88</v>
      </c>
      <c r="Q35" s="2">
        <v>674571.03</v>
      </c>
    </row>
    <row r="36" spans="1:17" ht="15" customHeight="1" x14ac:dyDescent="0.25">
      <c r="A36" s="1" t="s">
        <v>35</v>
      </c>
      <c r="B36" s="1"/>
      <c r="C36" s="1"/>
      <c r="D36" s="2">
        <v>25756.799999999999</v>
      </c>
      <c r="E36" s="2">
        <v>10396.799999999999</v>
      </c>
      <c r="F36" s="2" t="s">
        <v>42</v>
      </c>
      <c r="G36" s="2" t="s">
        <v>42</v>
      </c>
      <c r="H36" s="2">
        <v>0</v>
      </c>
      <c r="I36" s="2">
        <v>0</v>
      </c>
      <c r="J36" s="2">
        <v>48</v>
      </c>
      <c r="K36" s="2">
        <v>96000</v>
      </c>
      <c r="L36" s="2" t="s">
        <v>42</v>
      </c>
      <c r="M36" s="2">
        <v>96000</v>
      </c>
      <c r="N36" s="2">
        <v>85603.199999999997</v>
      </c>
      <c r="O36" s="2">
        <v>67882.09</v>
      </c>
      <c r="P36" s="2" t="s">
        <v>42</v>
      </c>
      <c r="Q36" s="2">
        <v>153485.29</v>
      </c>
    </row>
    <row r="37" spans="1:17" ht="15" customHeight="1" x14ac:dyDescent="0.25">
      <c r="A37" s="1" t="s">
        <v>36</v>
      </c>
      <c r="B37" s="1"/>
      <c r="C37" s="1"/>
      <c r="D37" s="2">
        <v>21785.96</v>
      </c>
      <c r="E37" s="2">
        <v>8793.9599999999991</v>
      </c>
      <c r="F37" s="2" t="s">
        <v>42</v>
      </c>
      <c r="G37" s="2" t="s">
        <v>42</v>
      </c>
      <c r="H37" s="2">
        <v>0</v>
      </c>
      <c r="I37" s="2">
        <v>0</v>
      </c>
      <c r="J37" s="2">
        <v>40.6</v>
      </c>
      <c r="K37" s="2">
        <v>81200</v>
      </c>
      <c r="L37" s="2" t="s">
        <v>42</v>
      </c>
      <c r="M37" s="2">
        <v>81200</v>
      </c>
      <c r="N37" s="2">
        <v>72406.039999999994</v>
      </c>
      <c r="O37" s="2">
        <v>44658.71</v>
      </c>
      <c r="P37" s="2" t="s">
        <v>42</v>
      </c>
      <c r="Q37" s="2">
        <v>117064.75</v>
      </c>
    </row>
    <row r="38" spans="1:17" ht="15" customHeight="1" x14ac:dyDescent="0.25">
      <c r="A38" s="1" t="s">
        <v>37</v>
      </c>
      <c r="B38" s="1"/>
      <c r="C38" s="1"/>
      <c r="D38" s="2">
        <v>941104.22</v>
      </c>
      <c r="E38" s="2">
        <v>379879.2</v>
      </c>
      <c r="F38" s="2">
        <v>12</v>
      </c>
      <c r="G38" s="2">
        <v>26400</v>
      </c>
      <c r="H38" s="2">
        <v>34.799999999999997</v>
      </c>
      <c r="I38" s="2">
        <v>125520</v>
      </c>
      <c r="J38" s="2">
        <v>1515.2</v>
      </c>
      <c r="K38" s="2">
        <v>3355736.4</v>
      </c>
      <c r="L38" s="2">
        <v>60000</v>
      </c>
      <c r="M38" s="2">
        <v>3507656.4</v>
      </c>
      <c r="N38" s="2">
        <v>3067777.2</v>
      </c>
      <c r="O38" s="2">
        <v>1286910.8600000001</v>
      </c>
      <c r="P38" s="2">
        <v>6738492.5199999996</v>
      </c>
      <c r="Q38" s="2">
        <v>11093180.58</v>
      </c>
    </row>
  </sheetData>
  <mergeCells count="41">
    <mergeCell ref="F1:G1"/>
    <mergeCell ref="H1:I1"/>
    <mergeCell ref="J1:K1"/>
    <mergeCell ref="A1:C1"/>
    <mergeCell ref="A37:C37"/>
    <mergeCell ref="A38:C38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5641-8BE5-43DC-B7FA-7AF4E7637928}">
  <dimension ref="A1:Q17"/>
  <sheetViews>
    <sheetView workbookViewId="0">
      <selection activeCell="A15" sqref="A15:C1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2.140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10.140625" customWidth="1"/>
    <col min="11" max="17" width="14.28515625" customWidth="1"/>
  </cols>
  <sheetData>
    <row r="1" spans="1:17" ht="45" x14ac:dyDescent="0.25">
      <c r="A1" s="8" t="s">
        <v>52</v>
      </c>
      <c r="B1" s="9"/>
      <c r="C1" s="10"/>
      <c r="D1" s="3"/>
      <c r="E1" s="3"/>
      <c r="F1" s="4" t="s">
        <v>43</v>
      </c>
      <c r="G1" s="4"/>
      <c r="H1" s="4" t="s">
        <v>44</v>
      </c>
      <c r="I1" s="4"/>
      <c r="J1" s="4" t="s">
        <v>53</v>
      </c>
      <c r="K1" s="4"/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45</v>
      </c>
    </row>
    <row r="2" spans="1:17" ht="30" x14ac:dyDescent="0.25">
      <c r="A2" s="5" t="s">
        <v>1</v>
      </c>
      <c r="B2" s="5"/>
      <c r="C2" s="5"/>
      <c r="D2" s="6" t="s">
        <v>39</v>
      </c>
      <c r="E2" s="3" t="s">
        <v>40</v>
      </c>
      <c r="F2" s="6" t="s">
        <v>0</v>
      </c>
      <c r="G2" s="6" t="s">
        <v>38</v>
      </c>
      <c r="H2" s="6" t="s">
        <v>0</v>
      </c>
      <c r="I2" s="6" t="s">
        <v>38</v>
      </c>
      <c r="J2" s="6" t="s">
        <v>0</v>
      </c>
      <c r="K2" s="6" t="s">
        <v>38</v>
      </c>
      <c r="L2" s="6" t="s">
        <v>38</v>
      </c>
      <c r="M2" s="6" t="s">
        <v>38</v>
      </c>
      <c r="N2" s="6" t="s">
        <v>38</v>
      </c>
      <c r="O2" s="6" t="s">
        <v>38</v>
      </c>
      <c r="P2" s="6" t="s">
        <v>38</v>
      </c>
      <c r="Q2" s="6" t="s">
        <v>38</v>
      </c>
    </row>
    <row r="3" spans="1:17" ht="15" customHeight="1" x14ac:dyDescent="0.25">
      <c r="A3" s="1" t="s">
        <v>54</v>
      </c>
      <c r="B3" s="1"/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42</v>
      </c>
      <c r="K3" s="2" t="s">
        <v>42</v>
      </c>
      <c r="L3" s="2" t="s">
        <v>42</v>
      </c>
      <c r="M3" s="2">
        <v>0</v>
      </c>
      <c r="N3" s="2">
        <v>0</v>
      </c>
      <c r="O3" s="2">
        <v>65622.69</v>
      </c>
      <c r="P3" s="2" t="s">
        <v>42</v>
      </c>
      <c r="Q3" s="2">
        <v>65622.69</v>
      </c>
    </row>
    <row r="4" spans="1:17" ht="15" customHeight="1" x14ac:dyDescent="0.25">
      <c r="A4" s="1" t="s">
        <v>55</v>
      </c>
      <c r="B4" s="1"/>
      <c r="C4" s="1"/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56</v>
      </c>
      <c r="K4" s="2">
        <v>0</v>
      </c>
      <c r="L4" s="2" t="s">
        <v>42</v>
      </c>
      <c r="M4" s="2">
        <v>0</v>
      </c>
      <c r="N4" s="2">
        <v>0</v>
      </c>
      <c r="O4" s="2" t="s">
        <v>42</v>
      </c>
      <c r="P4" s="2">
        <v>0</v>
      </c>
      <c r="Q4" s="2">
        <v>0</v>
      </c>
    </row>
    <row r="5" spans="1:17" ht="15" customHeight="1" x14ac:dyDescent="0.25">
      <c r="A5" s="1" t="s">
        <v>56</v>
      </c>
      <c r="B5" s="1"/>
      <c r="C5" s="1"/>
      <c r="D5" s="2">
        <v>25756.799999999999</v>
      </c>
      <c r="E5" s="2">
        <v>10396.799999999999</v>
      </c>
      <c r="F5" s="2">
        <v>0</v>
      </c>
      <c r="G5" s="2">
        <v>0</v>
      </c>
      <c r="H5" s="2">
        <v>48</v>
      </c>
      <c r="I5" s="2">
        <v>96000</v>
      </c>
      <c r="J5" s="2" t="s">
        <v>42</v>
      </c>
      <c r="K5" s="2" t="s">
        <v>42</v>
      </c>
      <c r="L5" s="2" t="s">
        <v>42</v>
      </c>
      <c r="M5" s="2">
        <v>96000</v>
      </c>
      <c r="N5" s="2">
        <v>85603.199999999997</v>
      </c>
      <c r="O5" s="2" t="s">
        <v>42</v>
      </c>
      <c r="P5" s="2">
        <v>471568.75</v>
      </c>
      <c r="Q5" s="2">
        <v>557171.94999999995</v>
      </c>
    </row>
    <row r="6" spans="1:17" ht="15" customHeight="1" x14ac:dyDescent="0.25">
      <c r="A6" s="1" t="s">
        <v>57</v>
      </c>
      <c r="B6" s="1"/>
      <c r="C6" s="1"/>
      <c r="D6" s="2">
        <v>36338.28</v>
      </c>
      <c r="E6" s="2">
        <v>14668.04</v>
      </c>
      <c r="F6" s="2">
        <v>0</v>
      </c>
      <c r="G6" s="2">
        <v>0</v>
      </c>
      <c r="H6" s="2">
        <v>43.69</v>
      </c>
      <c r="I6" s="2">
        <v>135439</v>
      </c>
      <c r="J6" s="2" t="s">
        <v>42</v>
      </c>
      <c r="K6" s="2" t="s">
        <v>42</v>
      </c>
      <c r="L6" s="2">
        <v>30000</v>
      </c>
      <c r="M6" s="2">
        <v>135439</v>
      </c>
      <c r="N6" s="2">
        <v>90770.96</v>
      </c>
      <c r="O6" s="2">
        <v>71349.88</v>
      </c>
      <c r="P6" s="2" t="s">
        <v>42</v>
      </c>
      <c r="Q6" s="2">
        <v>162120.84</v>
      </c>
    </row>
    <row r="7" spans="1:17" ht="15" customHeight="1" x14ac:dyDescent="0.25">
      <c r="A7" s="1" t="s">
        <v>58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42</v>
      </c>
      <c r="K7" s="2" t="s">
        <v>42</v>
      </c>
      <c r="L7" s="2" t="s">
        <v>42</v>
      </c>
      <c r="M7" s="2">
        <v>0</v>
      </c>
      <c r="N7" s="2">
        <v>0</v>
      </c>
      <c r="O7" s="2" t="s">
        <v>42</v>
      </c>
      <c r="P7" s="2">
        <v>503022.72</v>
      </c>
      <c r="Q7" s="2">
        <v>503022.72</v>
      </c>
    </row>
    <row r="8" spans="1:17" ht="15" customHeight="1" x14ac:dyDescent="0.25">
      <c r="A8" s="1" t="s">
        <v>59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42</v>
      </c>
      <c r="K8" s="2" t="s">
        <v>42</v>
      </c>
      <c r="L8" s="2" t="s">
        <v>42</v>
      </c>
      <c r="M8" s="2">
        <v>0</v>
      </c>
      <c r="N8" s="2">
        <v>0</v>
      </c>
      <c r="O8" s="2" t="s">
        <v>42</v>
      </c>
      <c r="P8" s="2">
        <v>489533.94</v>
      </c>
      <c r="Q8" s="2">
        <v>489533.94</v>
      </c>
    </row>
    <row r="9" spans="1:17" ht="15" customHeight="1" x14ac:dyDescent="0.25">
      <c r="A9" s="1" t="s">
        <v>60</v>
      </c>
      <c r="B9" s="1"/>
      <c r="C9" s="1"/>
      <c r="D9" s="2">
        <v>30522.880000000001</v>
      </c>
      <c r="E9" s="2">
        <v>12320.64</v>
      </c>
      <c r="F9" s="2">
        <v>0</v>
      </c>
      <c r="G9" s="2">
        <v>0</v>
      </c>
      <c r="H9" s="2">
        <v>40.630000000000003</v>
      </c>
      <c r="I9" s="2">
        <v>113764</v>
      </c>
      <c r="J9" s="2" t="s">
        <v>42</v>
      </c>
      <c r="K9" s="2" t="s">
        <v>42</v>
      </c>
      <c r="L9" s="2" t="s">
        <v>42</v>
      </c>
      <c r="M9" s="2">
        <v>113764</v>
      </c>
      <c r="N9" s="2">
        <v>101443.36</v>
      </c>
      <c r="O9" s="2">
        <v>58328.32</v>
      </c>
      <c r="P9" s="2" t="s">
        <v>42</v>
      </c>
      <c r="Q9" s="2">
        <v>159771.68</v>
      </c>
    </row>
    <row r="10" spans="1:17" ht="15" customHeight="1" x14ac:dyDescent="0.25">
      <c r="A10" s="1" t="s">
        <v>61</v>
      </c>
      <c r="B10" s="1"/>
      <c r="C10" s="1"/>
      <c r="D10" s="2">
        <v>35214.379999999997</v>
      </c>
      <c r="E10" s="2">
        <v>14214.38</v>
      </c>
      <c r="F10" s="2">
        <v>3</v>
      </c>
      <c r="G10" s="2">
        <v>11250</v>
      </c>
      <c r="H10" s="2">
        <v>48</v>
      </c>
      <c r="I10" s="2">
        <v>120000</v>
      </c>
      <c r="J10" s="2" t="s">
        <v>42</v>
      </c>
      <c r="K10" s="2" t="s">
        <v>42</v>
      </c>
      <c r="L10" s="2" t="s">
        <v>42</v>
      </c>
      <c r="M10" s="2">
        <v>131250</v>
      </c>
      <c r="N10" s="2">
        <v>117035.62</v>
      </c>
      <c r="O10" s="2">
        <v>73028.639999999999</v>
      </c>
      <c r="P10" s="2" t="s">
        <v>42</v>
      </c>
      <c r="Q10" s="2">
        <v>190064.26</v>
      </c>
    </row>
    <row r="11" spans="1:17" ht="15" customHeight="1" x14ac:dyDescent="0.25">
      <c r="A11" s="1" t="s">
        <v>62</v>
      </c>
      <c r="B11" s="1"/>
      <c r="C11" s="1"/>
      <c r="D11" s="2">
        <v>43237.62</v>
      </c>
      <c r="E11" s="2">
        <v>17452.98</v>
      </c>
      <c r="F11" s="2">
        <v>6.37</v>
      </c>
      <c r="G11" s="2">
        <v>26754</v>
      </c>
      <c r="H11" s="2">
        <v>48</v>
      </c>
      <c r="I11" s="2">
        <v>134400</v>
      </c>
      <c r="J11" s="2" t="s">
        <v>42</v>
      </c>
      <c r="K11" s="2" t="s">
        <v>42</v>
      </c>
      <c r="L11" s="2" t="s">
        <v>42</v>
      </c>
      <c r="M11" s="2">
        <v>161154</v>
      </c>
      <c r="N11" s="2">
        <v>143701.01999999999</v>
      </c>
      <c r="O11" s="2">
        <v>68024.11</v>
      </c>
      <c r="P11" s="2" t="s">
        <v>42</v>
      </c>
      <c r="Q11" s="2">
        <v>211725.13</v>
      </c>
    </row>
    <row r="12" spans="1:17" ht="15" customHeight="1" x14ac:dyDescent="0.25">
      <c r="A12" s="1" t="s">
        <v>63</v>
      </c>
      <c r="B12" s="1"/>
      <c r="C12" s="1"/>
      <c r="D12" s="2">
        <v>34208.25</v>
      </c>
      <c r="E12" s="2">
        <v>13808.25</v>
      </c>
      <c r="F12" s="2">
        <v>2</v>
      </c>
      <c r="G12" s="2">
        <v>7500</v>
      </c>
      <c r="H12" s="2">
        <v>48</v>
      </c>
      <c r="I12" s="2">
        <v>120000</v>
      </c>
      <c r="J12" s="2" t="s">
        <v>42</v>
      </c>
      <c r="K12" s="2" t="s">
        <v>42</v>
      </c>
      <c r="L12" s="2" t="s">
        <v>42</v>
      </c>
      <c r="M12" s="2">
        <v>127500</v>
      </c>
      <c r="N12" s="2">
        <v>113691.75</v>
      </c>
      <c r="O12" s="2">
        <v>69098.320000000007</v>
      </c>
      <c r="P12" s="2" t="s">
        <v>42</v>
      </c>
      <c r="Q12" s="2">
        <v>182790.07</v>
      </c>
    </row>
    <row r="13" spans="1:17" ht="15" customHeight="1" x14ac:dyDescent="0.25">
      <c r="A13" s="1" t="s">
        <v>64</v>
      </c>
      <c r="B13" s="1"/>
      <c r="C13" s="1"/>
      <c r="D13" s="2">
        <v>33805.800000000003</v>
      </c>
      <c r="E13" s="2">
        <v>13645.8</v>
      </c>
      <c r="F13" s="2">
        <v>10</v>
      </c>
      <c r="G13" s="2">
        <v>30000</v>
      </c>
      <c r="H13" s="2">
        <v>48</v>
      </c>
      <c r="I13" s="2">
        <v>96000</v>
      </c>
      <c r="J13" s="2" t="s">
        <v>42</v>
      </c>
      <c r="K13" s="2" t="s">
        <v>42</v>
      </c>
      <c r="L13" s="2" t="s">
        <v>42</v>
      </c>
      <c r="M13" s="2">
        <v>126000</v>
      </c>
      <c r="N13" s="2">
        <v>112354.2</v>
      </c>
      <c r="O13" s="2">
        <v>68024.11</v>
      </c>
      <c r="P13" s="2" t="s">
        <v>42</v>
      </c>
      <c r="Q13" s="2">
        <v>180378.31</v>
      </c>
    </row>
    <row r="14" spans="1:17" ht="15" customHeight="1" x14ac:dyDescent="0.25">
      <c r="A14" s="1" t="s">
        <v>65</v>
      </c>
      <c r="B14" s="1"/>
      <c r="C14" s="1"/>
      <c r="D14" s="2">
        <v>21919.040000000001</v>
      </c>
      <c r="E14" s="2">
        <v>8847.68</v>
      </c>
      <c r="F14" s="2">
        <v>0</v>
      </c>
      <c r="G14" s="2">
        <v>0</v>
      </c>
      <c r="H14" s="2">
        <v>48</v>
      </c>
      <c r="I14" s="2">
        <v>81696</v>
      </c>
      <c r="J14" s="2" t="s">
        <v>42</v>
      </c>
      <c r="K14" s="2" t="s">
        <v>42</v>
      </c>
      <c r="L14" s="2" t="s">
        <v>42</v>
      </c>
      <c r="M14" s="2">
        <v>81696</v>
      </c>
      <c r="N14" s="2">
        <v>72848.320000000007</v>
      </c>
      <c r="O14" s="2" t="s">
        <v>42</v>
      </c>
      <c r="P14" s="2">
        <v>520814.88</v>
      </c>
      <c r="Q14" s="2">
        <v>593663.19999999995</v>
      </c>
    </row>
    <row r="15" spans="1:17" ht="15" customHeight="1" x14ac:dyDescent="0.25">
      <c r="A15" s="1" t="s">
        <v>66</v>
      </c>
      <c r="B15" s="1"/>
      <c r="C15" s="1"/>
      <c r="D15" s="2">
        <v>10251.719999999999</v>
      </c>
      <c r="E15" s="2">
        <v>4138.13</v>
      </c>
      <c r="F15" s="2">
        <v>0</v>
      </c>
      <c r="G15" s="2">
        <v>0</v>
      </c>
      <c r="H15" s="2">
        <v>22.45</v>
      </c>
      <c r="I15" s="2">
        <v>38209.9</v>
      </c>
      <c r="J15" s="2" t="s">
        <v>42</v>
      </c>
      <c r="K15" s="2" t="s">
        <v>42</v>
      </c>
      <c r="L15" s="2" t="s">
        <v>42</v>
      </c>
      <c r="M15" s="2">
        <v>38209.9</v>
      </c>
      <c r="N15" s="2">
        <v>34071.769999999997</v>
      </c>
      <c r="O15" s="2" t="s">
        <v>42</v>
      </c>
      <c r="P15" s="2">
        <v>250149.16</v>
      </c>
      <c r="Q15" s="2">
        <v>284220.93</v>
      </c>
    </row>
    <row r="16" spans="1:17" ht="15" customHeight="1" x14ac:dyDescent="0.25">
      <c r="A16" s="1" t="s">
        <v>67</v>
      </c>
      <c r="B16" s="1"/>
      <c r="C16" s="1"/>
      <c r="D16" s="2">
        <v>28742.98</v>
      </c>
      <c r="E16" s="2">
        <v>11602.18</v>
      </c>
      <c r="F16" s="2">
        <v>3.71</v>
      </c>
      <c r="G16" s="2">
        <v>11130</v>
      </c>
      <c r="H16" s="2">
        <v>48</v>
      </c>
      <c r="I16" s="2">
        <v>96000</v>
      </c>
      <c r="J16" s="2" t="s">
        <v>42</v>
      </c>
      <c r="K16" s="2" t="s">
        <v>42</v>
      </c>
      <c r="L16" s="2" t="s">
        <v>42</v>
      </c>
      <c r="M16" s="2">
        <v>107130</v>
      </c>
      <c r="N16" s="2">
        <v>95527.82</v>
      </c>
      <c r="O16" s="2" t="s">
        <v>42</v>
      </c>
      <c r="P16" s="2">
        <v>545954.78</v>
      </c>
      <c r="Q16" s="2">
        <v>641482.6</v>
      </c>
    </row>
    <row r="17" spans="1:17" ht="15" customHeight="1" x14ac:dyDescent="0.25">
      <c r="A17" s="1" t="s">
        <v>37</v>
      </c>
      <c r="B17" s="1"/>
      <c r="C17" s="1"/>
      <c r="D17" s="2">
        <v>299997.75</v>
      </c>
      <c r="E17" s="2">
        <v>121094.88</v>
      </c>
      <c r="F17" s="2">
        <v>25.08</v>
      </c>
      <c r="G17" s="2">
        <v>86634</v>
      </c>
      <c r="H17" s="2">
        <v>442.77</v>
      </c>
      <c r="I17" s="2">
        <v>1031508.9</v>
      </c>
      <c r="J17" s="2">
        <v>56</v>
      </c>
      <c r="K17" s="2">
        <v>0</v>
      </c>
      <c r="L17" s="2">
        <v>30000</v>
      </c>
      <c r="M17" s="2">
        <v>1118142.8999999999</v>
      </c>
      <c r="N17" s="2">
        <v>967048.02</v>
      </c>
      <c r="O17" s="2">
        <v>473476.07</v>
      </c>
      <c r="P17" s="2">
        <v>2781044.23</v>
      </c>
      <c r="Q17" s="2">
        <v>4221568.32</v>
      </c>
    </row>
  </sheetData>
  <mergeCells count="20">
    <mergeCell ref="A16:C16"/>
    <mergeCell ref="A17:C17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CB05-532F-476B-A5E4-E4016DB14BDD}">
  <dimension ref="A1:N12"/>
  <sheetViews>
    <sheetView workbookViewId="0">
      <selection activeCell="E9" sqref="E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4" width="14.28515625" customWidth="1"/>
  </cols>
  <sheetData>
    <row r="1" spans="1:14" ht="45" x14ac:dyDescent="0.25">
      <c r="A1" s="8" t="s">
        <v>68</v>
      </c>
      <c r="B1" s="9"/>
      <c r="C1" s="10"/>
      <c r="D1" s="3"/>
      <c r="E1" s="3"/>
      <c r="F1" s="4" t="s">
        <v>43</v>
      </c>
      <c r="G1" s="4"/>
      <c r="H1" s="4" t="s">
        <v>44</v>
      </c>
      <c r="I1" s="4"/>
      <c r="J1" s="3" t="s">
        <v>47</v>
      </c>
      <c r="K1" s="3" t="s">
        <v>48</v>
      </c>
      <c r="L1" s="3" t="s">
        <v>49</v>
      </c>
      <c r="M1" s="3" t="s">
        <v>50</v>
      </c>
      <c r="N1" s="3" t="s">
        <v>45</v>
      </c>
    </row>
    <row r="2" spans="1:14" ht="30" x14ac:dyDescent="0.25">
      <c r="A2" s="5" t="s">
        <v>1</v>
      </c>
      <c r="B2" s="5"/>
      <c r="C2" s="5"/>
      <c r="D2" s="6" t="s">
        <v>39</v>
      </c>
      <c r="E2" s="3" t="s">
        <v>40</v>
      </c>
      <c r="F2" s="6" t="s">
        <v>0</v>
      </c>
      <c r="G2" s="6" t="s">
        <v>38</v>
      </c>
      <c r="H2" s="6" t="s">
        <v>0</v>
      </c>
      <c r="I2" s="6" t="s">
        <v>38</v>
      </c>
      <c r="J2" s="6" t="s">
        <v>38</v>
      </c>
      <c r="K2" s="6" t="s">
        <v>38</v>
      </c>
      <c r="L2" s="6" t="s">
        <v>38</v>
      </c>
      <c r="M2" s="6" t="s">
        <v>38</v>
      </c>
      <c r="N2" s="6" t="s">
        <v>38</v>
      </c>
    </row>
    <row r="3" spans="1:14" ht="15" customHeight="1" x14ac:dyDescent="0.25">
      <c r="A3" s="1" t="s">
        <v>69</v>
      </c>
      <c r="B3" s="1"/>
      <c r="C3" s="1"/>
      <c r="D3" s="2">
        <v>36059.519999999997</v>
      </c>
      <c r="E3" s="2">
        <v>14555.52</v>
      </c>
      <c r="F3" s="2">
        <v>0</v>
      </c>
      <c r="G3" s="2">
        <v>0</v>
      </c>
      <c r="H3" s="2">
        <v>48</v>
      </c>
      <c r="I3" s="2">
        <v>134400</v>
      </c>
      <c r="J3" s="2">
        <v>134400</v>
      </c>
      <c r="K3" s="2">
        <v>119844.48</v>
      </c>
      <c r="L3" s="2">
        <v>14468.79</v>
      </c>
      <c r="M3" s="2" t="s">
        <v>42</v>
      </c>
      <c r="N3" s="2">
        <v>134313.26999999999</v>
      </c>
    </row>
    <row r="4" spans="1:14" ht="15" customHeight="1" x14ac:dyDescent="0.25">
      <c r="A4" s="1" t="s">
        <v>70</v>
      </c>
      <c r="B4" s="1"/>
      <c r="C4" s="1"/>
      <c r="D4" s="2">
        <v>32356.98</v>
      </c>
      <c r="E4" s="2">
        <v>13060.98</v>
      </c>
      <c r="F4" s="2">
        <v>1.5</v>
      </c>
      <c r="G4" s="2">
        <v>5400</v>
      </c>
      <c r="H4" s="2">
        <v>48</v>
      </c>
      <c r="I4" s="2">
        <v>115200</v>
      </c>
      <c r="J4" s="2">
        <v>120600</v>
      </c>
      <c r="K4" s="2">
        <v>107539.02</v>
      </c>
      <c r="L4" s="2" t="s">
        <v>42</v>
      </c>
      <c r="M4" s="2">
        <v>72627.86</v>
      </c>
      <c r="N4" s="2">
        <v>180166.88</v>
      </c>
    </row>
    <row r="5" spans="1:14" ht="15" customHeight="1" x14ac:dyDescent="0.25">
      <c r="A5" s="1" t="s">
        <v>71</v>
      </c>
      <c r="B5" s="1"/>
      <c r="C5" s="1"/>
      <c r="D5" s="2">
        <v>28171.5</v>
      </c>
      <c r="E5" s="2">
        <v>11371.5</v>
      </c>
      <c r="F5" s="2">
        <v>3</v>
      </c>
      <c r="G5" s="2">
        <v>9000</v>
      </c>
      <c r="H5" s="2">
        <v>48</v>
      </c>
      <c r="I5" s="2">
        <v>96000</v>
      </c>
      <c r="J5" s="2">
        <v>105000</v>
      </c>
      <c r="K5" s="2">
        <v>93628.5</v>
      </c>
      <c r="L5" s="2">
        <v>14468.79</v>
      </c>
      <c r="M5" s="2" t="s">
        <v>42</v>
      </c>
      <c r="N5" s="2">
        <v>108097.29</v>
      </c>
    </row>
    <row r="6" spans="1:14" ht="15" customHeight="1" x14ac:dyDescent="0.25">
      <c r="A6" s="1" t="s">
        <v>72</v>
      </c>
      <c r="B6" s="1"/>
      <c r="C6" s="1"/>
      <c r="D6" s="2">
        <v>38635.199999999997</v>
      </c>
      <c r="E6" s="2">
        <v>15595.2</v>
      </c>
      <c r="F6" s="2">
        <v>0</v>
      </c>
      <c r="G6" s="2">
        <v>0</v>
      </c>
      <c r="H6" s="2">
        <v>48</v>
      </c>
      <c r="I6" s="2">
        <v>144000</v>
      </c>
      <c r="J6" s="2">
        <v>144000</v>
      </c>
      <c r="K6" s="2">
        <v>128404.8</v>
      </c>
      <c r="L6" s="2">
        <v>14468.79</v>
      </c>
      <c r="M6" s="2" t="s">
        <v>42</v>
      </c>
      <c r="N6" s="2">
        <v>142873.59</v>
      </c>
    </row>
    <row r="7" spans="1:14" ht="15" customHeight="1" x14ac:dyDescent="0.25">
      <c r="A7" s="1" t="s">
        <v>73</v>
      </c>
      <c r="B7" s="1"/>
      <c r="C7" s="1"/>
      <c r="D7" s="2">
        <v>38635.199999999997</v>
      </c>
      <c r="E7" s="2">
        <v>15595.2</v>
      </c>
      <c r="F7" s="2">
        <v>0</v>
      </c>
      <c r="G7" s="2">
        <v>0</v>
      </c>
      <c r="H7" s="2">
        <v>48</v>
      </c>
      <c r="I7" s="2">
        <v>144000</v>
      </c>
      <c r="J7" s="2">
        <v>144000</v>
      </c>
      <c r="K7" s="2">
        <v>128404.8</v>
      </c>
      <c r="L7" s="2" t="s">
        <v>42</v>
      </c>
      <c r="M7" s="2" t="s">
        <v>42</v>
      </c>
      <c r="N7" s="2">
        <v>128404.8</v>
      </c>
    </row>
    <row r="8" spans="1:14" ht="15" customHeight="1" x14ac:dyDescent="0.25">
      <c r="A8" s="1" t="s">
        <v>74</v>
      </c>
      <c r="B8" s="1"/>
      <c r="C8" s="1"/>
      <c r="D8" s="2">
        <v>36220.5</v>
      </c>
      <c r="E8" s="2">
        <v>14620.5</v>
      </c>
      <c r="F8" s="2">
        <v>4</v>
      </c>
      <c r="G8" s="2">
        <v>15000</v>
      </c>
      <c r="H8" s="2">
        <v>48</v>
      </c>
      <c r="I8" s="2">
        <v>120000</v>
      </c>
      <c r="J8" s="2">
        <v>135000</v>
      </c>
      <c r="K8" s="2">
        <v>120379.5</v>
      </c>
      <c r="L8" s="2">
        <v>14468.79</v>
      </c>
      <c r="M8" s="2" t="s">
        <v>42</v>
      </c>
      <c r="N8" s="2">
        <v>134848.29</v>
      </c>
    </row>
    <row r="9" spans="1:14" ht="15" customHeight="1" x14ac:dyDescent="0.25">
      <c r="A9" s="1" t="s">
        <v>75</v>
      </c>
      <c r="B9" s="1"/>
      <c r="C9" s="1"/>
      <c r="D9" s="2">
        <v>30545.96</v>
      </c>
      <c r="E9" s="2">
        <v>12329.96</v>
      </c>
      <c r="F9" s="2">
        <v>1</v>
      </c>
      <c r="G9" s="2">
        <v>3450</v>
      </c>
      <c r="H9" s="2">
        <v>48</v>
      </c>
      <c r="I9" s="2">
        <v>110400</v>
      </c>
      <c r="J9" s="2">
        <v>113850</v>
      </c>
      <c r="K9" s="2">
        <v>101520.04</v>
      </c>
      <c r="L9" s="2" t="s">
        <v>42</v>
      </c>
      <c r="M9" s="2">
        <v>72627.86</v>
      </c>
      <c r="N9" s="2">
        <v>174147.9</v>
      </c>
    </row>
    <row r="10" spans="1:14" ht="15" customHeight="1" x14ac:dyDescent="0.25">
      <c r="A10" s="1" t="s">
        <v>76</v>
      </c>
      <c r="B10" s="1"/>
      <c r="C10" s="1"/>
      <c r="D10" s="2">
        <v>23140.880000000001</v>
      </c>
      <c r="E10" s="2">
        <v>9340.8799999999992</v>
      </c>
      <c r="F10" s="2">
        <v>0</v>
      </c>
      <c r="G10" s="2">
        <v>0</v>
      </c>
      <c r="H10" s="2">
        <v>34.5</v>
      </c>
      <c r="I10" s="2">
        <v>86250</v>
      </c>
      <c r="J10" s="2">
        <v>86250</v>
      </c>
      <c r="K10" s="2">
        <v>76909.119999999995</v>
      </c>
      <c r="L10" s="2">
        <v>9807.74</v>
      </c>
      <c r="M10" s="2" t="s">
        <v>42</v>
      </c>
      <c r="N10" s="2">
        <v>86716.86</v>
      </c>
    </row>
    <row r="11" spans="1:14" ht="15" customHeight="1" x14ac:dyDescent="0.25">
      <c r="A11" s="1" t="s">
        <v>77</v>
      </c>
      <c r="B11" s="1"/>
      <c r="C11" s="1"/>
      <c r="D11" s="2">
        <v>25756.799999999999</v>
      </c>
      <c r="E11" s="2">
        <v>10396.799999999999</v>
      </c>
      <c r="F11" s="2">
        <v>0</v>
      </c>
      <c r="G11" s="2">
        <v>0</v>
      </c>
      <c r="H11" s="2">
        <v>48</v>
      </c>
      <c r="I11" s="2">
        <v>96000</v>
      </c>
      <c r="J11" s="2">
        <v>96000</v>
      </c>
      <c r="K11" s="2">
        <v>85603.199999999997</v>
      </c>
      <c r="L11" s="2">
        <v>14468.79</v>
      </c>
      <c r="M11" s="2" t="s">
        <v>42</v>
      </c>
      <c r="N11" s="2">
        <v>100071.99</v>
      </c>
    </row>
    <row r="12" spans="1:14" ht="15" customHeight="1" x14ac:dyDescent="0.25">
      <c r="A12" s="1" t="s">
        <v>37</v>
      </c>
      <c r="B12" s="1"/>
      <c r="C12" s="1"/>
      <c r="D12" s="2">
        <v>289522.53999999998</v>
      </c>
      <c r="E12" s="2">
        <v>116866.54</v>
      </c>
      <c r="F12" s="2">
        <v>9.5</v>
      </c>
      <c r="G12" s="2">
        <v>32850</v>
      </c>
      <c r="H12" s="2">
        <v>418.5</v>
      </c>
      <c r="I12" s="2">
        <v>1046250</v>
      </c>
      <c r="J12" s="2">
        <v>1079100</v>
      </c>
      <c r="K12" s="2">
        <v>962233.46</v>
      </c>
      <c r="L12" s="2">
        <v>82151.69</v>
      </c>
      <c r="M12" s="2">
        <v>145255.72</v>
      </c>
      <c r="N12" s="2">
        <v>1189640.8700000001</v>
      </c>
    </row>
  </sheetData>
  <mergeCells count="14">
    <mergeCell ref="A11:C11"/>
    <mergeCell ref="A12:C12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501-216F-4817-94F9-9A1A46CFCF81}">
  <dimension ref="A1:O9"/>
  <sheetViews>
    <sheetView tabSelected="1" workbookViewId="0">
      <selection activeCell="G13" sqref="G1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3.5703125" customWidth="1"/>
    <col min="4" max="7" width="14.28515625" customWidth="1"/>
    <col min="8" max="8" width="7.140625" bestFit="1" customWidth="1"/>
    <col min="9" max="15" width="14.28515625" customWidth="1"/>
  </cols>
  <sheetData>
    <row r="1" spans="1:15" ht="45" x14ac:dyDescent="0.25">
      <c r="A1" s="7" t="s">
        <v>78</v>
      </c>
      <c r="B1" s="7"/>
      <c r="C1" s="7"/>
      <c r="D1" s="4" t="s">
        <v>43</v>
      </c>
      <c r="E1" s="4"/>
      <c r="F1" s="4" t="s">
        <v>79</v>
      </c>
      <c r="G1" s="4"/>
      <c r="H1" s="4" t="s">
        <v>44</v>
      </c>
      <c r="I1" s="4"/>
      <c r="J1" s="3" t="s">
        <v>47</v>
      </c>
      <c r="K1" s="3" t="s">
        <v>48</v>
      </c>
      <c r="L1" s="3" t="s">
        <v>49</v>
      </c>
      <c r="M1" s="3" t="s">
        <v>50</v>
      </c>
      <c r="N1" s="3" t="s">
        <v>80</v>
      </c>
      <c r="O1" s="3" t="s">
        <v>45</v>
      </c>
    </row>
    <row r="2" spans="1:15" ht="15" customHeight="1" x14ac:dyDescent="0.25">
      <c r="A2" s="5" t="s">
        <v>1</v>
      </c>
      <c r="B2" s="5"/>
      <c r="C2" s="5"/>
      <c r="D2" s="6" t="s">
        <v>0</v>
      </c>
      <c r="E2" s="6" t="s">
        <v>38</v>
      </c>
      <c r="F2" s="6" t="s">
        <v>0</v>
      </c>
      <c r="G2" s="6" t="s">
        <v>38</v>
      </c>
      <c r="H2" s="6" t="s">
        <v>0</v>
      </c>
      <c r="I2" s="6" t="s">
        <v>38</v>
      </c>
      <c r="J2" s="6" t="s">
        <v>38</v>
      </c>
      <c r="K2" s="6" t="s">
        <v>38</v>
      </c>
      <c r="L2" s="6" t="s">
        <v>38</v>
      </c>
      <c r="M2" s="6" t="s">
        <v>38</v>
      </c>
      <c r="N2" s="6" t="s">
        <v>38</v>
      </c>
      <c r="O2" s="6" t="s">
        <v>38</v>
      </c>
    </row>
    <row r="3" spans="1:15" ht="15" customHeight="1" x14ac:dyDescent="0.25">
      <c r="A3" s="1" t="s">
        <v>81</v>
      </c>
      <c r="B3" s="1"/>
      <c r="C3" s="1"/>
      <c r="D3" s="2">
        <v>0</v>
      </c>
      <c r="E3" s="2">
        <v>0</v>
      </c>
      <c r="F3" s="2" t="s">
        <v>42</v>
      </c>
      <c r="G3" s="2" t="s">
        <v>42</v>
      </c>
      <c r="H3" s="2">
        <v>1</v>
      </c>
      <c r="I3" s="2">
        <v>2000</v>
      </c>
      <c r="J3" s="2">
        <v>2000</v>
      </c>
      <c r="K3" s="2">
        <v>2000</v>
      </c>
      <c r="L3" s="2" t="s">
        <v>42</v>
      </c>
      <c r="M3" s="2" t="s">
        <v>42</v>
      </c>
      <c r="N3" s="2" t="s">
        <v>42</v>
      </c>
      <c r="O3" s="2">
        <v>2000</v>
      </c>
    </row>
    <row r="4" spans="1:15" ht="15" customHeight="1" x14ac:dyDescent="0.25">
      <c r="A4" s="1" t="s">
        <v>82</v>
      </c>
      <c r="B4" s="1"/>
      <c r="C4" s="1"/>
      <c r="D4" s="2">
        <v>3.19</v>
      </c>
      <c r="E4" s="2">
        <v>12919.5</v>
      </c>
      <c r="F4" s="2">
        <v>0</v>
      </c>
      <c r="G4" s="2">
        <v>100000</v>
      </c>
      <c r="H4" s="2">
        <v>48</v>
      </c>
      <c r="I4" s="2">
        <v>129600</v>
      </c>
      <c r="J4" s="2">
        <v>242519.5</v>
      </c>
      <c r="K4" s="2">
        <v>242519.5</v>
      </c>
      <c r="L4" s="2">
        <v>61111.25</v>
      </c>
      <c r="M4" s="2" t="s">
        <v>42</v>
      </c>
      <c r="N4" s="2" t="s">
        <v>42</v>
      </c>
      <c r="O4" s="2">
        <v>303630.75</v>
      </c>
    </row>
    <row r="5" spans="1:15" ht="15" customHeight="1" x14ac:dyDescent="0.25">
      <c r="A5" s="1" t="s">
        <v>83</v>
      </c>
      <c r="B5" s="1"/>
      <c r="C5" s="1"/>
      <c r="D5" s="2">
        <v>3.4</v>
      </c>
      <c r="E5" s="2">
        <v>8680.2000000000007</v>
      </c>
      <c r="F5" s="2" t="s">
        <v>42</v>
      </c>
      <c r="G5" s="2" t="s">
        <v>42</v>
      </c>
      <c r="H5" s="2">
        <v>48</v>
      </c>
      <c r="I5" s="2">
        <v>81696</v>
      </c>
      <c r="J5" s="2">
        <v>90376.2</v>
      </c>
      <c r="K5" s="2">
        <v>90376.2</v>
      </c>
      <c r="L5" s="2" t="s">
        <v>42</v>
      </c>
      <c r="M5" s="2">
        <v>530287.77</v>
      </c>
      <c r="N5" s="2" t="s">
        <v>42</v>
      </c>
      <c r="O5" s="2">
        <v>620663.97</v>
      </c>
    </row>
    <row r="6" spans="1:15" ht="15" customHeight="1" x14ac:dyDescent="0.25">
      <c r="A6" s="1" t="s">
        <v>84</v>
      </c>
      <c r="B6" s="1"/>
      <c r="C6" s="1"/>
      <c r="D6" s="2">
        <v>5.67</v>
      </c>
      <c r="E6" s="2">
        <v>23814</v>
      </c>
      <c r="F6" s="2" t="s">
        <v>42</v>
      </c>
      <c r="G6" s="2" t="s">
        <v>42</v>
      </c>
      <c r="H6" s="2">
        <v>48</v>
      </c>
      <c r="I6" s="2">
        <v>134400</v>
      </c>
      <c r="J6" s="2">
        <v>158214</v>
      </c>
      <c r="K6" s="2">
        <v>158214</v>
      </c>
      <c r="L6" s="2">
        <v>66315.39</v>
      </c>
      <c r="M6" s="2" t="s">
        <v>42</v>
      </c>
      <c r="N6" s="2" t="s">
        <v>42</v>
      </c>
      <c r="O6" s="2">
        <v>224529.39</v>
      </c>
    </row>
    <row r="7" spans="1:15" ht="15" customHeight="1" x14ac:dyDescent="0.25">
      <c r="A7" s="1" t="s">
        <v>85</v>
      </c>
      <c r="B7" s="1"/>
      <c r="C7" s="1"/>
      <c r="D7" s="2">
        <v>0</v>
      </c>
      <c r="E7" s="2">
        <v>0</v>
      </c>
      <c r="F7" s="2" t="s">
        <v>42</v>
      </c>
      <c r="G7" s="2" t="s">
        <v>42</v>
      </c>
      <c r="H7" s="2">
        <v>33.65</v>
      </c>
      <c r="I7" s="2">
        <v>67300</v>
      </c>
      <c r="J7" s="2">
        <v>67300</v>
      </c>
      <c r="K7" s="2">
        <v>67300</v>
      </c>
      <c r="L7" s="2">
        <v>30792.45</v>
      </c>
      <c r="M7" s="2" t="s">
        <v>42</v>
      </c>
      <c r="N7" s="2" t="s">
        <v>42</v>
      </c>
      <c r="O7" s="2">
        <v>98092.45</v>
      </c>
    </row>
    <row r="8" spans="1:15" ht="15" customHeight="1" x14ac:dyDescent="0.25">
      <c r="A8" s="1" t="s">
        <v>86</v>
      </c>
      <c r="B8" s="1"/>
      <c r="C8" s="1"/>
      <c r="D8" s="2">
        <v>2.5</v>
      </c>
      <c r="E8" s="2">
        <v>7500</v>
      </c>
      <c r="F8" s="2" t="s">
        <v>42</v>
      </c>
      <c r="G8" s="2" t="s">
        <v>42</v>
      </c>
      <c r="H8" s="2">
        <v>48</v>
      </c>
      <c r="I8" s="2">
        <v>96000</v>
      </c>
      <c r="J8" s="2">
        <v>133500</v>
      </c>
      <c r="K8" s="2">
        <v>133500</v>
      </c>
      <c r="L8" s="2">
        <v>65910.009999999995</v>
      </c>
      <c r="M8" s="2" t="s">
        <v>42</v>
      </c>
      <c r="N8" s="2">
        <v>30000</v>
      </c>
      <c r="O8" s="2">
        <v>199410.01</v>
      </c>
    </row>
    <row r="9" spans="1:15" ht="15" customHeight="1" x14ac:dyDescent="0.25">
      <c r="A9" s="1" t="s">
        <v>37</v>
      </c>
      <c r="B9" s="1"/>
      <c r="C9" s="1"/>
      <c r="D9" s="2">
        <v>14.76</v>
      </c>
      <c r="E9" s="2">
        <v>52913.7</v>
      </c>
      <c r="F9" s="2">
        <v>0</v>
      </c>
      <c r="G9" s="2">
        <v>100000</v>
      </c>
      <c r="H9" s="2">
        <v>226.65</v>
      </c>
      <c r="I9" s="2">
        <v>510996</v>
      </c>
      <c r="J9" s="2">
        <v>693909.7</v>
      </c>
      <c r="K9" s="2">
        <v>693909.7</v>
      </c>
      <c r="L9" s="2">
        <v>224129.1</v>
      </c>
      <c r="M9" s="2">
        <v>530287.77</v>
      </c>
      <c r="N9" s="2">
        <v>30000</v>
      </c>
      <c r="O9" s="2">
        <v>1448326.57</v>
      </c>
    </row>
  </sheetData>
  <mergeCells count="12"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2026-02-03T18:49:34Z</dcterms:modified>
</cp:coreProperties>
</file>