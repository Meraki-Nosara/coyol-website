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CONTABILIDAD ENERO 2026\"/>
    </mc:Choice>
  </mc:AlternateContent>
  <xr:revisionPtr revIDLastSave="0" documentId="13_ncr:1_{FD50B60C-019A-4364-9166-4C3039534B32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LA LUNA" sheetId="1" r:id="rId1"/>
    <sheet name="COYOL" sheetId="2" r:id="rId2"/>
    <sheet name="ESH" sheetId="3" r:id="rId3"/>
    <sheet name="ESPECI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4" l="1"/>
  <c r="F20" i="1"/>
</calcChain>
</file>

<file path=xl/sharedStrings.xml><?xml version="1.0" encoding="utf-8"?>
<sst xmlns="http://schemas.openxmlformats.org/spreadsheetml/2006/main" count="396" uniqueCount="86">
  <si>
    <t>Cantidad</t>
  </si>
  <si>
    <t>Desc. empleado</t>
  </si>
  <si>
    <t>ALEJANDRO XAVIER SALAZAR CARVAJAL</t>
  </si>
  <si>
    <t>BRYAN ONIEL ZAMORA CRUZ</t>
  </si>
  <si>
    <t>BYRON ANTONIO ESPINOZA ALVARADO</t>
  </si>
  <si>
    <t>CARLOS VARGAS FERNANDEZ</t>
  </si>
  <si>
    <t>CARMEN ISABEL MUÑOZ ESPINOZA</t>
  </si>
  <si>
    <t>DARWIN TUGWELL FONSECA</t>
  </si>
  <si>
    <t>DIEGO ALEJANDRO LOPEZ ALVAREZ</t>
  </si>
  <si>
    <t>EDER JESUS ROJAS HERNANDEZ</t>
  </si>
  <si>
    <t>ELIZABETH SABALLO MAYORGA</t>
  </si>
  <si>
    <t>ERICK ANTONIO CISNE SILVA</t>
  </si>
  <si>
    <t>ESMERALDA DAYANA LOPEZ MATARRITA</t>
  </si>
  <si>
    <t>EVELYN UGALDE RODRIGUEZ</t>
  </si>
  <si>
    <t>FRANKLIN ALI MENDOZA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</si>
  <si>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</si>
  <si>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</si>
  <si>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</si>
  <si>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</si>
  <si>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</si>
  <si>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</si>
  <si>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JORDAN ENRIQUE JIMENEZ GONZALES</t>
  </si>
  <si>
    <t>JORGE JOSE SILVA ESPINOZA</t>
  </si>
  <si>
    <t>JULIA MARIA ARRIETA EDUARTE</t>
  </si>
  <si>
    <t>KEISY DANIELA RUIZ RUIZ</t>
  </si>
  <si>
    <t>KIMBERLEEN PAOLA MOLINA SOTO</t>
  </si>
  <si>
    <t>LINDA LORENA GUEVARA TORRES</t>
  </si>
  <si>
    <t>MARIA NELA HERNANDEZ GUTIERREZ</t>
  </si>
  <si>
    <t>MARIA TERESA SABALLO MAYORGA</t>
  </si>
  <si>
    <t>MARISELA DEL CARMEN MENDOZA CALERO</t>
  </si>
  <si>
    <t>NIELSI SELENE NAVARRETE GOMEZ</t>
  </si>
  <si>
    <t>ROSAURA CASTILLO ALVARADO</t>
  </si>
  <si>
    <t>SOFIA NATALIA CAMPOS BRENEZ</t>
  </si>
  <si>
    <t>VERONICA MEJIA GONZALES</t>
  </si>
  <si>
    <t>YERLING CARRILLO LEAL</t>
  </si>
  <si>
    <t>ZELANDIA CRUZ BRENES</t>
  </si>
  <si>
    <t>Total general</t>
  </si>
  <si>
    <t>Monto</t>
  </si>
  <si>
    <t>Aporte patronal CCSS</t>
  </si>
  <si>
    <t>CCSS  (10.83%)</t>
  </si>
  <si>
    <t>Horas Apoyo Esh</t>
  </si>
  <si>
    <t/>
  </si>
  <si>
    <t>Horas Extras Diurnas</t>
  </si>
  <si>
    <t>Horas Regulares Diurnas</t>
  </si>
  <si>
    <t>Monto a pagar</t>
  </si>
  <si>
    <t>Prestamos</t>
  </si>
  <si>
    <t>Salario Bruto</t>
  </si>
  <si>
    <t>Salario Neto</t>
  </si>
  <si>
    <t>Service Tax Cocina</t>
  </si>
  <si>
    <t>Service Tax Salon + Tip tarjeta</t>
  </si>
  <si>
    <t>NOMINA LA LUNA SEM 23-29 ENERO 2026</t>
  </si>
  <si>
    <t>NOMINA COYOL SEM 23-29 ENERO 2026</t>
  </si>
  <si>
    <t>Incapacidad no pagada</t>
  </si>
  <si>
    <t>ALVARO LUIS PIÑAR JIMENEZ</t>
  </si>
  <si>
    <t>ANDRES TROCONIS ROMERO</t>
  </si>
  <si>
    <t>ANTHONY WRIGHT JIMENEZ</t>
  </si>
  <si>
    <t>AURORA MARIA PRENDAS HERNANDEZ</t>
  </si>
  <si>
    <t>GEORGE DANIEL LOPEZ GOMEZ</t>
  </si>
  <si>
    <t>JOHN FREISER LOPEZ JIMENEZ</t>
  </si>
  <si>
    <t>JOSUE EMANUEL ORTEGA BARRANTES</t>
  </si>
  <si>
    <t>LEINER RODRIGUEZ VILLALOBOS</t>
  </si>
  <si>
    <t>LUIS ALEJANDRO ARCE ALFARO</t>
  </si>
  <si>
    <t>MARIO ALBERTO CAMPOS CASTILLO</t>
  </si>
  <si>
    <t>MEYLING DE LOS ANGELES PINEDA PALACIOS</t>
  </si>
  <si>
    <t>MOISES DORMUZ CASTILLO</t>
  </si>
  <si>
    <t>YEFERSON JESUA RIVERA GUEVARA</t>
  </si>
  <si>
    <t>YORDANY DIAZ MATARRITA</t>
  </si>
  <si>
    <t>NOMINA ESH SEM 23-29 ENERO 2026</t>
  </si>
  <si>
    <t>Goce de vacaciones</t>
  </si>
  <si>
    <t>ADRIANA MACIEL CRUZ CRUZ</t>
  </si>
  <si>
    <t>CARLOS CABRERA VEGA</t>
  </si>
  <si>
    <t>CHEIRY NICOLE PEREZ PEREZ</t>
  </si>
  <si>
    <t>DARIN TUGWELL RODRIGUEZ</t>
  </si>
  <si>
    <t>GABRIELA HERRERA MONTIEL</t>
  </si>
  <si>
    <t>GRISELL DAYANNA LOPEZ ALVAREZ</t>
  </si>
  <si>
    <t>JUAN RAMON CASTILLO ALVARADO</t>
  </si>
  <si>
    <t>MEYLING URBINA MARTINEZ</t>
  </si>
  <si>
    <t>SILVIA PILAR RODRIGUEZ MATARRITA</t>
  </si>
  <si>
    <t>NOMINA ESPECIAL SEM 23-29 ENERO 2026</t>
  </si>
  <si>
    <t>Horas Regulares Cocina (2500)</t>
  </si>
  <si>
    <t>Trampas de Grasa</t>
  </si>
  <si>
    <t>ELVIN JAVIER LOPEZ LOPEZ</t>
  </si>
  <si>
    <t>JASSON ESPINOZA MUÑOZ</t>
  </si>
  <si>
    <t>MARCO GERVASINI</t>
  </si>
  <si>
    <t>RAUL RODRIGUEZ MONTIEL</t>
  </si>
  <si>
    <t>RONALD CRUZ PILA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</si>
</sst>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left" vertical="center" wrapText="1"/>
    </xf>
    <xf numFmtId="4" fontId="4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4" fontId="1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showGridLines="0" workbookViewId="0">
      <selection activeCell="D7" sqref="D7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28515625" bestFit="1" customWidth="1"/>
    <col min="5" max="5" width="14.28515625" customWidth="1"/>
    <col min="6" max="6" width="7.28515625" bestFit="1" customWidth="1"/>
    <col min="7" max="7" width="14.28515625" customWidth="1"/>
    <col min="8" max="8" width="7.28515625" bestFit="1" customWidth="1"/>
    <col min="9" max="9" width="14.28515625" customWidth="1"/>
    <col min="10" max="10" width="9" bestFit="1" customWidth="1"/>
    <col min="11" max="17" width="14.28515625" customWidth="1"/>
  </cols>
  <sheetData>
    <row r="1" spans="1:17" ht="15" customHeight="1" x14ac:dyDescent="0.25">
      <c r="A1" s="7" t="s">
        <v>50</v>
      </c>
      <c r="B1" s="8"/>
      <c r="C1" s="9"/>
      <c r="D1" s="3"/>
      <c r="E1" s="3"/>
      <c r="F1" s="4" t="s">
        <v>40</v>
      </c>
      <c r="G1" s="4"/>
      <c r="H1" s="4" t="s">
        <v>42</v>
      </c>
      <c r="I1" s="4"/>
      <c r="J1" s="4" t="s">
        <v>43</v>
      </c>
      <c r="K1" s="4"/>
      <c r="L1" s="3" t="s">
        <v>45</v>
      </c>
      <c r="M1" s="3" t="s">
        <v>46</v>
      </c>
      <c r="N1" s="3" t="s">
        <v>47</v>
      </c>
      <c r="O1" s="3" t="s">
        <v>48</v>
      </c>
      <c r="P1" s="3" t="s">
        <v>49</v>
      </c>
      <c r="Q1" s="3" t="s">
        <v>44</v>
      </c>
    </row>
    <row r="2" spans="1:17" ht="15" customHeight="1" x14ac:dyDescent="0.25">
      <c r="A2" s="5" t="s">
        <v>1</v>
      </c>
      <c r="B2" s="5"/>
      <c r="C2" s="5"/>
      <c r="D2" s="6" t="s">
        <v>38</v>
      </c>
      <c r="E2" s="3" t="s">
        <v>39</v>
      </c>
      <c r="F2" s="6" t="s">
        <v>0</v>
      </c>
      <c r="G2" s="6" t="s">
        <v>37</v>
      </c>
      <c r="H2" s="6" t="s">
        <v>0</v>
      </c>
      <c r="I2" s="6" t="s">
        <v>37</v>
      </c>
      <c r="J2" s="6" t="s">
        <v>0</v>
      </c>
      <c r="K2" s="6" t="s">
        <v>37</v>
      </c>
      <c r="L2" s="6" t="s">
        <v>37</v>
      </c>
      <c r="M2" s="6" t="s">
        <v>37</v>
      </c>
      <c r="N2" s="6" t="s">
        <v>37</v>
      </c>
      <c r="O2" s="6" t="s">
        <v>37</v>
      </c>
      <c r="P2" s="6" t="s">
        <v>37</v>
      </c>
      <c r="Q2" s="6" t="s">
        <v>37</v>
      </c>
    </row>
    <row r="3" spans="1:17" ht="15" customHeight="1" x14ac:dyDescent="0.25">
      <c r="A3" s="1" t="s">
        <v>2</v>
      </c>
      <c r="B3" s="1"/>
      <c r="C3" s="1"/>
      <c r="D3" s="2">
        <v>32759.43</v>
      </c>
      <c r="E3" s="2">
        <v>13223.43</v>
      </c>
      <c r="F3" s="2" t="s">
        <v>41</v>
      </c>
      <c r="G3" s="2" t="s">
        <v>41</v>
      </c>
      <c r="H3" s="2">
        <v>5</v>
      </c>
      <c r="I3" s="2">
        <v>16500</v>
      </c>
      <c r="J3" s="2">
        <v>48</v>
      </c>
      <c r="K3" s="2">
        <v>105600</v>
      </c>
      <c r="L3" s="2" t="s">
        <v>41</v>
      </c>
      <c r="M3" s="2">
        <v>122100</v>
      </c>
      <c r="N3" s="2">
        <v>108876.57</v>
      </c>
      <c r="O3" s="2">
        <v>76443.47</v>
      </c>
      <c r="P3" s="2" t="s">
        <v>41</v>
      </c>
      <c r="Q3" s="2">
        <v>185320.04</v>
      </c>
    </row>
    <row r="4" spans="1:17" ht="15" customHeight="1" x14ac:dyDescent="0.25">
      <c r="A4" s="1" t="s">
        <v>3</v>
      </c>
      <c r="B4" s="1"/>
      <c r="C4" s="1"/>
      <c r="D4" s="2">
        <v>25756.799999999999</v>
      </c>
      <c r="E4" s="2">
        <v>10396.799999999999</v>
      </c>
      <c r="F4" s="2" t="s">
        <v>41</v>
      </c>
      <c r="G4" s="2" t="s">
        <v>41</v>
      </c>
      <c r="H4" s="2">
        <v>0</v>
      </c>
      <c r="I4" s="2">
        <v>0</v>
      </c>
      <c r="J4" s="2">
        <v>48</v>
      </c>
      <c r="K4" s="2">
        <v>96000</v>
      </c>
      <c r="L4" s="2" t="s">
        <v>41</v>
      </c>
      <c r="M4" s="2">
        <v>96000</v>
      </c>
      <c r="N4" s="2">
        <v>85603.199999999997</v>
      </c>
      <c r="O4" s="2">
        <v>72578.23</v>
      </c>
      <c r="P4" s="2" t="s">
        <v>41</v>
      </c>
      <c r="Q4" s="2">
        <v>158181.43</v>
      </c>
    </row>
    <row r="5" spans="1:17" ht="15" customHeight="1" x14ac:dyDescent="0.25">
      <c r="A5" s="1" t="s">
        <v>4</v>
      </c>
      <c r="B5" s="1"/>
      <c r="C5" s="1"/>
      <c r="D5" s="2">
        <v>32088.68</v>
      </c>
      <c r="E5" s="2">
        <v>12952.68</v>
      </c>
      <c r="F5" s="2" t="s">
        <v>41</v>
      </c>
      <c r="G5" s="2" t="s">
        <v>41</v>
      </c>
      <c r="H5" s="2">
        <v>0</v>
      </c>
      <c r="I5" s="2">
        <v>0</v>
      </c>
      <c r="J5" s="2">
        <v>46</v>
      </c>
      <c r="K5" s="2">
        <v>119600</v>
      </c>
      <c r="L5" s="2" t="s">
        <v>41</v>
      </c>
      <c r="M5" s="2">
        <v>119600</v>
      </c>
      <c r="N5" s="2">
        <v>106647.32</v>
      </c>
      <c r="O5" s="2">
        <v>38768.49</v>
      </c>
      <c r="P5" s="2" t="s">
        <v>41</v>
      </c>
      <c r="Q5" s="2">
        <v>145415.81</v>
      </c>
    </row>
    <row r="6" spans="1:17" ht="15" customHeight="1" x14ac:dyDescent="0.25">
      <c r="A6" s="1" t="s">
        <v>5</v>
      </c>
      <c r="B6" s="1"/>
      <c r="C6" s="1"/>
      <c r="D6" s="2">
        <v>19502.189999999999</v>
      </c>
      <c r="E6" s="2">
        <v>7872.11</v>
      </c>
      <c r="F6" s="2" t="s">
        <v>41</v>
      </c>
      <c r="G6" s="2" t="s">
        <v>41</v>
      </c>
      <c r="H6" s="2">
        <v>0</v>
      </c>
      <c r="I6" s="2">
        <v>0</v>
      </c>
      <c r="J6" s="2">
        <v>44</v>
      </c>
      <c r="K6" s="2">
        <v>72688</v>
      </c>
      <c r="L6" s="2" t="s">
        <v>41</v>
      </c>
      <c r="M6" s="2">
        <v>72688</v>
      </c>
      <c r="N6" s="2">
        <v>64815.89</v>
      </c>
      <c r="O6" s="2" t="s">
        <v>41</v>
      </c>
      <c r="P6" s="2">
        <v>550921.75</v>
      </c>
      <c r="Q6" s="2">
        <v>615737.64</v>
      </c>
    </row>
    <row r="7" spans="1:17" ht="15" customHeight="1" x14ac:dyDescent="0.25">
      <c r="A7" s="1" t="s">
        <v>6</v>
      </c>
      <c r="B7" s="1"/>
      <c r="C7" s="1"/>
      <c r="D7" s="2">
        <v>34650.949999999997</v>
      </c>
      <c r="E7" s="2">
        <v>13986.95</v>
      </c>
      <c r="F7" s="2" t="s">
        <v>41</v>
      </c>
      <c r="G7" s="2" t="s">
        <v>41</v>
      </c>
      <c r="H7" s="2">
        <v>9</v>
      </c>
      <c r="I7" s="2">
        <v>28350</v>
      </c>
      <c r="J7" s="2">
        <v>48</v>
      </c>
      <c r="K7" s="2">
        <v>100800</v>
      </c>
      <c r="L7" s="2" t="s">
        <v>41</v>
      </c>
      <c r="M7" s="2">
        <v>129150</v>
      </c>
      <c r="N7" s="2">
        <v>115163.05</v>
      </c>
      <c r="O7" s="2" t="s">
        <v>41</v>
      </c>
      <c r="P7" s="2">
        <v>669674.66</v>
      </c>
      <c r="Q7" s="2">
        <v>784837.71</v>
      </c>
    </row>
    <row r="8" spans="1:17" ht="15" customHeight="1" x14ac:dyDescent="0.25">
      <c r="A8" s="1" t="s">
        <v>7</v>
      </c>
      <c r="B8" s="1"/>
      <c r="C8" s="1"/>
      <c r="D8" s="2">
        <v>19929.32</v>
      </c>
      <c r="E8" s="2">
        <v>8044.52</v>
      </c>
      <c r="F8" s="2" t="s">
        <v>41</v>
      </c>
      <c r="G8" s="2" t="s">
        <v>41</v>
      </c>
      <c r="H8" s="2">
        <v>0</v>
      </c>
      <c r="I8" s="2">
        <v>0</v>
      </c>
      <c r="J8" s="2">
        <v>30.95</v>
      </c>
      <c r="K8" s="2">
        <v>74280</v>
      </c>
      <c r="L8" s="2" t="s">
        <v>41</v>
      </c>
      <c r="M8" s="2">
        <v>74280</v>
      </c>
      <c r="N8" s="2">
        <v>66235.48</v>
      </c>
      <c r="O8" s="2">
        <v>58308.24</v>
      </c>
      <c r="P8" s="2" t="s">
        <v>41</v>
      </c>
      <c r="Q8" s="2">
        <v>124543.72</v>
      </c>
    </row>
    <row r="9" spans="1:17" ht="15" customHeight="1" x14ac:dyDescent="0.25">
      <c r="A9" s="1" t="s">
        <v>8</v>
      </c>
      <c r="B9" s="1"/>
      <c r="C9" s="1"/>
      <c r="D9" s="2">
        <v>30854.5</v>
      </c>
      <c r="E9" s="2">
        <v>12454.5</v>
      </c>
      <c r="F9" s="2" t="s">
        <v>41</v>
      </c>
      <c r="G9" s="2" t="s">
        <v>41</v>
      </c>
      <c r="H9" s="2">
        <v>13</v>
      </c>
      <c r="I9" s="2">
        <v>39000</v>
      </c>
      <c r="J9" s="2">
        <v>38</v>
      </c>
      <c r="K9" s="2">
        <v>76000</v>
      </c>
      <c r="L9" s="2" t="s">
        <v>41</v>
      </c>
      <c r="M9" s="2">
        <v>115000</v>
      </c>
      <c r="N9" s="2">
        <v>102545.5</v>
      </c>
      <c r="O9" s="2" t="s">
        <v>41</v>
      </c>
      <c r="P9" s="2">
        <v>588873.27</v>
      </c>
      <c r="Q9" s="2">
        <v>691418.77</v>
      </c>
    </row>
    <row r="10" spans="1:17" ht="15" customHeight="1" x14ac:dyDescent="0.25">
      <c r="A10" s="1" t="s">
        <v>9</v>
      </c>
      <c r="B10" s="1"/>
      <c r="C10" s="1"/>
      <c r="D10" s="2">
        <v>21275.119999999999</v>
      </c>
      <c r="E10" s="2">
        <v>8587.76</v>
      </c>
      <c r="F10" s="2" t="s">
        <v>41</v>
      </c>
      <c r="G10" s="2" t="s">
        <v>41</v>
      </c>
      <c r="H10" s="2">
        <v>0</v>
      </c>
      <c r="I10" s="2">
        <v>0</v>
      </c>
      <c r="J10" s="2">
        <v>48</v>
      </c>
      <c r="K10" s="2">
        <v>79296</v>
      </c>
      <c r="L10" s="2" t="s">
        <v>41</v>
      </c>
      <c r="M10" s="2">
        <v>79296</v>
      </c>
      <c r="N10" s="2">
        <v>70708.240000000005</v>
      </c>
      <c r="O10" s="2" t="s">
        <v>41</v>
      </c>
      <c r="P10" s="2">
        <v>563962.19999999995</v>
      </c>
      <c r="Q10" s="2">
        <v>634670.43999999994</v>
      </c>
    </row>
    <row r="11" spans="1:17" ht="15" customHeight="1" x14ac:dyDescent="0.25">
      <c r="A11" s="1" t="s">
        <v>10</v>
      </c>
      <c r="B11" s="1"/>
      <c r="C11" s="1"/>
      <c r="D11" s="2">
        <v>36622.949999999997</v>
      </c>
      <c r="E11" s="2">
        <v>14782.95</v>
      </c>
      <c r="F11" s="2" t="s">
        <v>41</v>
      </c>
      <c r="G11" s="2" t="s">
        <v>41</v>
      </c>
      <c r="H11" s="2">
        <v>3</v>
      </c>
      <c r="I11" s="2">
        <v>11700</v>
      </c>
      <c r="J11" s="2">
        <v>48</v>
      </c>
      <c r="K11" s="2">
        <v>124800</v>
      </c>
      <c r="L11" s="2" t="s">
        <v>41</v>
      </c>
      <c r="M11" s="2">
        <v>136500</v>
      </c>
      <c r="N11" s="2">
        <v>121717.05</v>
      </c>
      <c r="O11" s="2">
        <v>72578.23</v>
      </c>
      <c r="P11" s="2" t="s">
        <v>41</v>
      </c>
      <c r="Q11" s="2">
        <v>194295.28</v>
      </c>
    </row>
    <row r="12" spans="1:17" ht="15" customHeight="1" x14ac:dyDescent="0.25">
      <c r="A12" s="1" t="s">
        <v>11</v>
      </c>
      <c r="B12" s="1"/>
      <c r="C12" s="1"/>
      <c r="D12" s="2">
        <v>34771.68</v>
      </c>
      <c r="E12" s="2">
        <v>14035.68</v>
      </c>
      <c r="F12" s="2" t="s">
        <v>41</v>
      </c>
      <c r="G12" s="2" t="s">
        <v>41</v>
      </c>
      <c r="H12" s="2">
        <v>0</v>
      </c>
      <c r="I12" s="2">
        <v>0</v>
      </c>
      <c r="J12" s="2">
        <v>48</v>
      </c>
      <c r="K12" s="2">
        <v>129600</v>
      </c>
      <c r="L12" s="2" t="s">
        <v>41</v>
      </c>
      <c r="M12" s="2">
        <v>129600</v>
      </c>
      <c r="N12" s="2">
        <v>115564.32</v>
      </c>
      <c r="O12" s="2">
        <v>79434.78</v>
      </c>
      <c r="P12" s="2" t="s">
        <v>41</v>
      </c>
      <c r="Q12" s="2">
        <v>194999.1</v>
      </c>
    </row>
    <row r="13" spans="1:17" ht="15" customHeight="1" x14ac:dyDescent="0.25">
      <c r="A13" s="1" t="s">
        <v>12</v>
      </c>
      <c r="B13" s="1"/>
      <c r="C13" s="1"/>
      <c r="D13" s="2">
        <v>25756.799999999999</v>
      </c>
      <c r="E13" s="2">
        <v>10396.799999999999</v>
      </c>
      <c r="F13" s="2" t="s">
        <v>41</v>
      </c>
      <c r="G13" s="2" t="s">
        <v>41</v>
      </c>
      <c r="H13" s="2">
        <v>0</v>
      </c>
      <c r="I13" s="2">
        <v>0</v>
      </c>
      <c r="J13" s="2">
        <v>48</v>
      </c>
      <c r="K13" s="2">
        <v>96000</v>
      </c>
      <c r="L13" s="2" t="s">
        <v>41</v>
      </c>
      <c r="M13" s="2">
        <v>96000</v>
      </c>
      <c r="N13" s="2">
        <v>85603.199999999997</v>
      </c>
      <c r="O13" s="2">
        <v>74754.83</v>
      </c>
      <c r="P13" s="2" t="s">
        <v>41</v>
      </c>
      <c r="Q13" s="2">
        <v>160358.03</v>
      </c>
    </row>
    <row r="14" spans="1:17" ht="15" customHeight="1" x14ac:dyDescent="0.25">
      <c r="A14" s="1" t="s">
        <v>13</v>
      </c>
      <c r="B14" s="1"/>
      <c r="C14" s="1"/>
      <c r="D14" s="2">
        <v>18915.150000000001</v>
      </c>
      <c r="E14" s="2">
        <v>7635.15</v>
      </c>
      <c r="F14" s="2" t="s">
        <v>41</v>
      </c>
      <c r="G14" s="2" t="s">
        <v>41</v>
      </c>
      <c r="H14" s="2">
        <v>0</v>
      </c>
      <c r="I14" s="2">
        <v>0</v>
      </c>
      <c r="J14" s="2">
        <v>35.25</v>
      </c>
      <c r="K14" s="2">
        <v>70500</v>
      </c>
      <c r="L14" s="2" t="s">
        <v>41</v>
      </c>
      <c r="M14" s="2">
        <v>70500</v>
      </c>
      <c r="N14" s="2">
        <v>62864.85</v>
      </c>
      <c r="O14" s="2">
        <v>72578.23</v>
      </c>
      <c r="P14" s="2" t="s">
        <v>41</v>
      </c>
      <c r="Q14" s="2">
        <v>135443.07999999999</v>
      </c>
    </row>
    <row r="15" spans="1:17" ht="15" customHeight="1" x14ac:dyDescent="0.25">
      <c r="A15" s="1" t="s">
        <v>14</v>
      </c>
      <c r="B15" s="1"/>
      <c r="C15" s="1"/>
      <c r="D15" s="2">
        <v>28364.68</v>
      </c>
      <c r="E15" s="2">
        <v>11449.48</v>
      </c>
      <c r="F15" s="2" t="s">
        <v>41</v>
      </c>
      <c r="G15" s="2" t="s">
        <v>41</v>
      </c>
      <c r="H15" s="2">
        <v>0</v>
      </c>
      <c r="I15" s="2">
        <v>0</v>
      </c>
      <c r="J15" s="2">
        <v>44.05</v>
      </c>
      <c r="K15" s="2">
        <v>105720</v>
      </c>
      <c r="L15" s="2" t="s">
        <v>41</v>
      </c>
      <c r="M15" s="2">
        <v>105720</v>
      </c>
      <c r="N15" s="2">
        <v>94270.52</v>
      </c>
      <c r="O15" s="2">
        <v>66523.8</v>
      </c>
      <c r="P15" s="2" t="s">
        <v>41</v>
      </c>
      <c r="Q15" s="2">
        <v>160794.32</v>
      </c>
    </row>
    <row r="16" spans="1:17" ht="15" customHeight="1" x14ac:dyDescent="0.25">
      <c r="A16" s="1" t="s">
        <v>15</v>
      </c>
      <c r="B16" s="1"/>
      <c r="C16" s="1"/>
      <c r="D16" s="2">
        <v>23610.400000000001</v>
      </c>
      <c r="E16" s="2">
        <v>9530.4</v>
      </c>
      <c r="F16" s="2" t="s">
        <v>41</v>
      </c>
      <c r="G16" s="2" t="s">
        <v>41</v>
      </c>
      <c r="H16" s="2">
        <v>0</v>
      </c>
      <c r="I16" s="2">
        <v>0</v>
      </c>
      <c r="J16" s="2">
        <v>40</v>
      </c>
      <c r="K16" s="2">
        <v>88000</v>
      </c>
      <c r="L16" s="2" t="s">
        <v>41</v>
      </c>
      <c r="M16" s="2">
        <v>88000</v>
      </c>
      <c r="N16" s="2">
        <v>78469.600000000006</v>
      </c>
      <c r="O16" s="2">
        <v>64377.78</v>
      </c>
      <c r="P16" s="2" t="s">
        <v>41</v>
      </c>
      <c r="Q16" s="2">
        <v>142847.38</v>
      </c>
    </row>
    <row r="17" spans="1:17" ht="15" customHeight="1" x14ac:dyDescent="0.25">
      <c r="A17" s="1" t="s">
        <v>16</v>
      </c>
      <c r="B17" s="1"/>
      <c r="C17" s="1"/>
      <c r="D17" s="2">
        <v>33269.199999999997</v>
      </c>
      <c r="E17" s="2">
        <v>13429.2</v>
      </c>
      <c r="F17" s="2" t="s">
        <v>41</v>
      </c>
      <c r="G17" s="2" t="s">
        <v>41</v>
      </c>
      <c r="H17" s="2">
        <v>0</v>
      </c>
      <c r="I17" s="2">
        <v>0</v>
      </c>
      <c r="J17" s="2">
        <v>40</v>
      </c>
      <c r="K17" s="2">
        <v>124000</v>
      </c>
      <c r="L17" s="2" t="s">
        <v>41</v>
      </c>
      <c r="M17" s="2">
        <v>124000</v>
      </c>
      <c r="N17" s="2">
        <v>110570.8</v>
      </c>
      <c r="O17" s="2" t="s">
        <v>41</v>
      </c>
      <c r="P17" s="2">
        <v>370127.17</v>
      </c>
      <c r="Q17" s="2">
        <v>480697.97</v>
      </c>
    </row>
    <row r="18" spans="1:17" ht="15" customHeight="1" x14ac:dyDescent="0.25">
      <c r="A18" s="1" t="s">
        <v>17</v>
      </c>
      <c r="B18" s="1"/>
      <c r="C18" s="1"/>
      <c r="D18" s="2">
        <v>21275.119999999999</v>
      </c>
      <c r="E18" s="2">
        <v>8587.76</v>
      </c>
      <c r="F18" s="2" t="s">
        <v>41</v>
      </c>
      <c r="G18" s="2" t="s">
        <v>41</v>
      </c>
      <c r="H18" s="2">
        <v>0</v>
      </c>
      <c r="I18" s="2">
        <v>0</v>
      </c>
      <c r="J18" s="2">
        <v>48</v>
      </c>
      <c r="K18" s="2">
        <v>79296</v>
      </c>
      <c r="L18" s="2" t="s">
        <v>41</v>
      </c>
      <c r="M18" s="2">
        <v>79296</v>
      </c>
      <c r="N18" s="2">
        <v>70708.240000000005</v>
      </c>
      <c r="O18" s="2" t="s">
        <v>41</v>
      </c>
      <c r="P18" s="2">
        <v>531058.96</v>
      </c>
      <c r="Q18" s="2">
        <v>601767.19999999995</v>
      </c>
    </row>
    <row r="19" spans="1:17" ht="15" customHeight="1" x14ac:dyDescent="0.25">
      <c r="A19" s="1" t="s">
        <v>18</v>
      </c>
      <c r="B19" s="1"/>
      <c r="C19" s="1"/>
      <c r="D19" s="2">
        <v>39842.550000000003</v>
      </c>
      <c r="E19" s="2">
        <v>16082.55</v>
      </c>
      <c r="F19" s="2" t="s">
        <v>41</v>
      </c>
      <c r="G19" s="2" t="s">
        <v>41</v>
      </c>
      <c r="H19" s="2">
        <v>1</v>
      </c>
      <c r="I19" s="2">
        <v>4500</v>
      </c>
      <c r="J19" s="2">
        <v>48</v>
      </c>
      <c r="K19" s="2">
        <v>144000</v>
      </c>
      <c r="L19" s="2">
        <v>10000</v>
      </c>
      <c r="M19" s="2">
        <v>148500</v>
      </c>
      <c r="N19" s="2">
        <v>122417.45</v>
      </c>
      <c r="O19" s="2">
        <v>77535.009999999995</v>
      </c>
      <c r="P19" s="2" t="s">
        <v>41</v>
      </c>
      <c r="Q19" s="2">
        <v>199952.46</v>
      </c>
    </row>
    <row r="20" spans="1:17" ht="15" customHeight="1" x14ac:dyDescent="0.25">
      <c r="A20" s="1" t="s">
        <v>19</v>
      </c>
      <c r="B20" s="1"/>
      <c r="C20" s="1"/>
      <c r="D20" s="2">
        <v>31643.3</v>
      </c>
      <c r="E20" s="2">
        <v>12772.9</v>
      </c>
      <c r="F20" s="2">
        <f>G20/2200</f>
        <v>17.649999999999999</v>
      </c>
      <c r="G20" s="2">
        <v>38830</v>
      </c>
      <c r="H20" s="2">
        <v>0</v>
      </c>
      <c r="I20" s="2">
        <v>0</v>
      </c>
      <c r="J20" s="2">
        <v>43.95</v>
      </c>
      <c r="K20" s="2">
        <v>79110</v>
      </c>
      <c r="L20" s="2" t="s">
        <v>41</v>
      </c>
      <c r="M20" s="2">
        <v>117940</v>
      </c>
      <c r="N20" s="2">
        <v>105167.1</v>
      </c>
      <c r="O20" s="2" t="s">
        <v>41</v>
      </c>
      <c r="P20" s="2">
        <v>596981.35</v>
      </c>
      <c r="Q20" s="2">
        <v>702148.45</v>
      </c>
    </row>
    <row r="21" spans="1:17" ht="15" customHeight="1" x14ac:dyDescent="0.25">
      <c r="A21" s="1" t="s">
        <v>20</v>
      </c>
      <c r="B21" s="1"/>
      <c r="C21" s="1"/>
      <c r="D21" s="2">
        <v>15779.04</v>
      </c>
      <c r="E21" s="2">
        <v>6369.25</v>
      </c>
      <c r="F21" s="2" t="s">
        <v>41</v>
      </c>
      <c r="G21" s="2" t="s">
        <v>41</v>
      </c>
      <c r="H21" s="2">
        <v>0</v>
      </c>
      <c r="I21" s="2">
        <v>0</v>
      </c>
      <c r="J21" s="2">
        <v>35.6</v>
      </c>
      <c r="K21" s="2">
        <v>58811.199999999997</v>
      </c>
      <c r="L21" s="2" t="s">
        <v>41</v>
      </c>
      <c r="M21" s="2">
        <v>58811.199999999997</v>
      </c>
      <c r="N21" s="2">
        <v>52441.95</v>
      </c>
      <c r="O21" s="2" t="s">
        <v>41</v>
      </c>
      <c r="P21" s="2">
        <v>374704.65</v>
      </c>
      <c r="Q21" s="2">
        <v>427146.6</v>
      </c>
    </row>
    <row r="22" spans="1:17" ht="15" customHeight="1" x14ac:dyDescent="0.25">
      <c r="A22" s="1" t="s">
        <v>21</v>
      </c>
      <c r="B22" s="1"/>
      <c r="C22" s="1"/>
      <c r="D22" s="2">
        <v>32196</v>
      </c>
      <c r="E22" s="2">
        <v>12996</v>
      </c>
      <c r="F22" s="2" t="s">
        <v>41</v>
      </c>
      <c r="G22" s="2" t="s">
        <v>41</v>
      </c>
      <c r="H22" s="2">
        <v>0</v>
      </c>
      <c r="I22" s="2">
        <v>0</v>
      </c>
      <c r="J22" s="2">
        <v>48</v>
      </c>
      <c r="K22" s="2">
        <v>120000</v>
      </c>
      <c r="L22" s="2" t="s">
        <v>41</v>
      </c>
      <c r="M22" s="2">
        <v>120000</v>
      </c>
      <c r="N22" s="2">
        <v>107004</v>
      </c>
      <c r="O22" s="2">
        <v>38767.49</v>
      </c>
      <c r="P22" s="2" t="s">
        <v>41</v>
      </c>
      <c r="Q22" s="2">
        <v>145771.49</v>
      </c>
    </row>
    <row r="23" spans="1:17" ht="15" customHeight="1" x14ac:dyDescent="0.25">
      <c r="A23" s="1" t="s">
        <v>22</v>
      </c>
      <c r="B23" s="1"/>
      <c r="C23" s="1"/>
      <c r="D23" s="2">
        <v>39923.040000000001</v>
      </c>
      <c r="E23" s="2">
        <v>16115.04</v>
      </c>
      <c r="F23" s="2" t="s">
        <v>41</v>
      </c>
      <c r="G23" s="2" t="s">
        <v>41</v>
      </c>
      <c r="H23" s="2">
        <v>0</v>
      </c>
      <c r="I23" s="2">
        <v>0</v>
      </c>
      <c r="J23" s="2">
        <v>48</v>
      </c>
      <c r="K23" s="2">
        <v>148800</v>
      </c>
      <c r="L23" s="2">
        <v>0</v>
      </c>
      <c r="M23" s="2">
        <v>148800</v>
      </c>
      <c r="N23" s="2">
        <v>132684.96</v>
      </c>
      <c r="O23" s="2">
        <v>76443.47</v>
      </c>
      <c r="P23" s="2" t="s">
        <v>41</v>
      </c>
      <c r="Q23" s="2">
        <v>209128.43</v>
      </c>
    </row>
    <row r="24" spans="1:17" ht="15" customHeight="1" x14ac:dyDescent="0.25">
      <c r="A24" s="1" t="s">
        <v>23</v>
      </c>
      <c r="B24" s="1"/>
      <c r="C24" s="1"/>
      <c r="D24" s="2">
        <v>38635.199999999997</v>
      </c>
      <c r="E24" s="2">
        <v>15595.2</v>
      </c>
      <c r="F24" s="2" t="s">
        <v>41</v>
      </c>
      <c r="G24" s="2" t="s">
        <v>41</v>
      </c>
      <c r="H24" s="2">
        <v>0</v>
      </c>
      <c r="I24" s="2">
        <v>0</v>
      </c>
      <c r="J24" s="2">
        <v>48</v>
      </c>
      <c r="K24" s="2">
        <v>144000</v>
      </c>
      <c r="L24" s="2" t="s">
        <v>41</v>
      </c>
      <c r="M24" s="2">
        <v>144000</v>
      </c>
      <c r="N24" s="2">
        <v>128404.8</v>
      </c>
      <c r="O24" s="2" t="s">
        <v>41</v>
      </c>
      <c r="P24" s="2">
        <v>509021.52</v>
      </c>
      <c r="Q24" s="2">
        <v>637426.31999999995</v>
      </c>
    </row>
    <row r="25" spans="1:17" ht="15" customHeight="1" x14ac:dyDescent="0.25">
      <c r="A25" s="1" t="s">
        <v>24</v>
      </c>
      <c r="B25" s="1"/>
      <c r="C25" s="1"/>
      <c r="D25" s="2">
        <v>13585.05</v>
      </c>
      <c r="E25" s="2">
        <v>5483.64</v>
      </c>
      <c r="F25" s="2" t="s">
        <v>41</v>
      </c>
      <c r="G25" s="2" t="s">
        <v>41</v>
      </c>
      <c r="H25" s="2">
        <v>0</v>
      </c>
      <c r="I25" s="2">
        <v>0</v>
      </c>
      <c r="J25" s="2">
        <v>30.65</v>
      </c>
      <c r="K25" s="2">
        <v>50633.8</v>
      </c>
      <c r="L25" s="2" t="s">
        <v>41</v>
      </c>
      <c r="M25" s="2">
        <v>50633.8</v>
      </c>
      <c r="N25" s="2">
        <v>45150.16</v>
      </c>
      <c r="O25" s="2" t="s">
        <v>41</v>
      </c>
      <c r="P25" s="2">
        <v>437361.15</v>
      </c>
      <c r="Q25" s="2">
        <v>482511.31</v>
      </c>
    </row>
    <row r="26" spans="1:17" ht="15" customHeight="1" x14ac:dyDescent="0.25">
      <c r="A26" s="1" t="s">
        <v>25</v>
      </c>
      <c r="B26" s="1"/>
      <c r="C26" s="1"/>
      <c r="D26" s="2">
        <v>17773.59</v>
      </c>
      <c r="E26" s="2">
        <v>7174.36</v>
      </c>
      <c r="F26" s="2" t="s">
        <v>41</v>
      </c>
      <c r="G26" s="2" t="s">
        <v>41</v>
      </c>
      <c r="H26" s="2">
        <v>0</v>
      </c>
      <c r="I26" s="2">
        <v>0</v>
      </c>
      <c r="J26" s="2">
        <v>40.1</v>
      </c>
      <c r="K26" s="2">
        <v>66245.2</v>
      </c>
      <c r="L26" s="2" t="s">
        <v>41</v>
      </c>
      <c r="M26" s="2">
        <v>66245.2</v>
      </c>
      <c r="N26" s="2">
        <v>59070.84</v>
      </c>
      <c r="O26" s="2" t="s">
        <v>41</v>
      </c>
      <c r="P26" s="2">
        <v>538919.86</v>
      </c>
      <c r="Q26" s="2">
        <v>597990.69999999995</v>
      </c>
    </row>
    <row r="27" spans="1:17" ht="15" customHeight="1" x14ac:dyDescent="0.25">
      <c r="A27" s="1" t="s">
        <v>26</v>
      </c>
      <c r="B27" s="1"/>
      <c r="C27" s="1"/>
      <c r="D27" s="2">
        <v>35737.56</v>
      </c>
      <c r="E27" s="2">
        <v>14425.56</v>
      </c>
      <c r="F27" s="2" t="s">
        <v>41</v>
      </c>
      <c r="G27" s="2" t="s">
        <v>41</v>
      </c>
      <c r="H27" s="2">
        <v>5</v>
      </c>
      <c r="I27" s="2">
        <v>18000</v>
      </c>
      <c r="J27" s="2">
        <v>48</v>
      </c>
      <c r="K27" s="2">
        <v>115200</v>
      </c>
      <c r="L27" s="2">
        <v>25000</v>
      </c>
      <c r="M27" s="2">
        <v>133200</v>
      </c>
      <c r="N27" s="2">
        <v>93774.44</v>
      </c>
      <c r="O27" s="2">
        <v>74754.83</v>
      </c>
      <c r="P27" s="2" t="s">
        <v>41</v>
      </c>
      <c r="Q27" s="2">
        <v>168529.27</v>
      </c>
    </row>
    <row r="28" spans="1:17" ht="15" customHeight="1" x14ac:dyDescent="0.25">
      <c r="A28" s="1" t="s">
        <v>27</v>
      </c>
      <c r="B28" s="1"/>
      <c r="C28" s="1"/>
      <c r="D28" s="2">
        <v>34771.68</v>
      </c>
      <c r="E28" s="2">
        <v>14035.68</v>
      </c>
      <c r="F28" s="2" t="s">
        <v>41</v>
      </c>
      <c r="G28" s="2" t="s">
        <v>41</v>
      </c>
      <c r="H28" s="2">
        <v>0</v>
      </c>
      <c r="I28" s="2">
        <v>0</v>
      </c>
      <c r="J28" s="2">
        <v>48</v>
      </c>
      <c r="K28" s="2">
        <v>129600</v>
      </c>
      <c r="L28" s="2" t="s">
        <v>41</v>
      </c>
      <c r="M28" s="2">
        <v>129600</v>
      </c>
      <c r="N28" s="2">
        <v>115564.32</v>
      </c>
      <c r="O28" s="2">
        <v>76443.47</v>
      </c>
      <c r="P28" s="2" t="s">
        <v>41</v>
      </c>
      <c r="Q28" s="2">
        <v>192007.79</v>
      </c>
    </row>
    <row r="29" spans="1:17" ht="15" customHeight="1" x14ac:dyDescent="0.25">
      <c r="A29" s="1" t="s">
        <v>28</v>
      </c>
      <c r="B29" s="1"/>
      <c r="C29" s="1"/>
      <c r="D29" s="2">
        <v>32960.660000000003</v>
      </c>
      <c r="E29" s="2">
        <v>13304.66</v>
      </c>
      <c r="F29" s="2" t="s">
        <v>41</v>
      </c>
      <c r="G29" s="2" t="s">
        <v>41</v>
      </c>
      <c r="H29" s="2">
        <v>7</v>
      </c>
      <c r="I29" s="2">
        <v>22050</v>
      </c>
      <c r="J29" s="2">
        <v>48</v>
      </c>
      <c r="K29" s="2">
        <v>100800</v>
      </c>
      <c r="L29" s="2" t="s">
        <v>41</v>
      </c>
      <c r="M29" s="2">
        <v>122850</v>
      </c>
      <c r="N29" s="2">
        <v>109545.34</v>
      </c>
      <c r="O29" s="2">
        <v>76113.84</v>
      </c>
      <c r="P29" s="2" t="s">
        <v>41</v>
      </c>
      <c r="Q29" s="2">
        <v>185659.18</v>
      </c>
    </row>
    <row r="30" spans="1:17" ht="15" customHeight="1" x14ac:dyDescent="0.25">
      <c r="A30" s="1" t="s">
        <v>29</v>
      </c>
      <c r="B30" s="1"/>
      <c r="C30" s="1"/>
      <c r="D30" s="2">
        <v>21866.45</v>
      </c>
      <c r="E30" s="2">
        <v>8826.4500000000007</v>
      </c>
      <c r="F30" s="2" t="s">
        <v>41</v>
      </c>
      <c r="G30" s="2" t="s">
        <v>41</v>
      </c>
      <c r="H30" s="2">
        <v>0</v>
      </c>
      <c r="I30" s="2">
        <v>0</v>
      </c>
      <c r="J30" s="2">
        <v>32.6</v>
      </c>
      <c r="K30" s="2">
        <v>81500</v>
      </c>
      <c r="L30" s="2" t="s">
        <v>41</v>
      </c>
      <c r="M30" s="2">
        <v>81500</v>
      </c>
      <c r="N30" s="2">
        <v>72673.55</v>
      </c>
      <c r="O30" s="2">
        <v>23368.85</v>
      </c>
      <c r="P30" s="2" t="s">
        <v>41</v>
      </c>
      <c r="Q30" s="2">
        <v>96042.4</v>
      </c>
    </row>
    <row r="31" spans="1:17" ht="15" customHeight="1" x14ac:dyDescent="0.25">
      <c r="A31" s="1" t="s">
        <v>30</v>
      </c>
      <c r="B31" s="1"/>
      <c r="C31" s="1"/>
      <c r="D31" s="2">
        <v>14959.07</v>
      </c>
      <c r="E31" s="2">
        <v>6038.27</v>
      </c>
      <c r="F31" s="2" t="s">
        <v>41</v>
      </c>
      <c r="G31" s="2" t="s">
        <v>41</v>
      </c>
      <c r="H31" s="2">
        <v>0</v>
      </c>
      <c r="I31" s="2">
        <v>0</v>
      </c>
      <c r="J31" s="2">
        <v>33.75</v>
      </c>
      <c r="K31" s="2">
        <v>55755</v>
      </c>
      <c r="L31" s="2" t="s">
        <v>41</v>
      </c>
      <c r="M31" s="2">
        <v>55755</v>
      </c>
      <c r="N31" s="2">
        <v>49716.73</v>
      </c>
      <c r="O31" s="2" t="s">
        <v>41</v>
      </c>
      <c r="P31" s="2">
        <v>452594.15</v>
      </c>
      <c r="Q31" s="2">
        <v>502310.88</v>
      </c>
    </row>
    <row r="32" spans="1:17" ht="15" customHeight="1" x14ac:dyDescent="0.25">
      <c r="A32" s="1" t="s">
        <v>31</v>
      </c>
      <c r="B32" s="1"/>
      <c r="C32" s="1"/>
      <c r="D32" s="2">
        <v>24817.75</v>
      </c>
      <c r="E32" s="2">
        <v>10017.75</v>
      </c>
      <c r="F32" s="2" t="s">
        <v>41</v>
      </c>
      <c r="G32" s="2" t="s">
        <v>41</v>
      </c>
      <c r="H32" s="2">
        <v>0</v>
      </c>
      <c r="I32" s="2">
        <v>0</v>
      </c>
      <c r="J32" s="2">
        <v>46.25</v>
      </c>
      <c r="K32" s="2">
        <v>92500</v>
      </c>
      <c r="L32" s="2" t="s">
        <v>41</v>
      </c>
      <c r="M32" s="2">
        <v>92500</v>
      </c>
      <c r="N32" s="2">
        <v>82482.25</v>
      </c>
      <c r="O32" s="2" t="s">
        <v>41</v>
      </c>
      <c r="P32" s="2">
        <v>506556.4</v>
      </c>
      <c r="Q32" s="2">
        <v>589038.65</v>
      </c>
    </row>
    <row r="33" spans="1:17" ht="15" customHeight="1" x14ac:dyDescent="0.25">
      <c r="A33" s="1" t="s">
        <v>32</v>
      </c>
      <c r="B33" s="1"/>
      <c r="C33" s="1"/>
      <c r="D33" s="2">
        <v>0</v>
      </c>
      <c r="E33" s="2">
        <v>0</v>
      </c>
      <c r="F33" s="2" t="s">
        <v>41</v>
      </c>
      <c r="G33" s="2" t="s">
        <v>41</v>
      </c>
      <c r="H33" s="2">
        <v>0</v>
      </c>
      <c r="I33" s="2">
        <v>0</v>
      </c>
      <c r="J33" s="2">
        <v>0</v>
      </c>
      <c r="K33" s="2">
        <v>0</v>
      </c>
      <c r="L33" s="2" t="s">
        <v>41</v>
      </c>
      <c r="M33" s="2">
        <v>0</v>
      </c>
      <c r="N33" s="2">
        <v>0</v>
      </c>
      <c r="O33" s="2">
        <v>77288.759999999995</v>
      </c>
      <c r="P33" s="2" t="s">
        <v>41</v>
      </c>
      <c r="Q33" s="2">
        <v>77288.759999999995</v>
      </c>
    </row>
    <row r="34" spans="1:17" ht="15" customHeight="1" x14ac:dyDescent="0.25">
      <c r="A34" s="1" t="s">
        <v>33</v>
      </c>
      <c r="B34" s="1"/>
      <c r="C34" s="1"/>
      <c r="D34" s="2">
        <v>17906.560000000001</v>
      </c>
      <c r="E34" s="2">
        <v>7228.03</v>
      </c>
      <c r="F34" s="2" t="s">
        <v>41</v>
      </c>
      <c r="G34" s="2" t="s">
        <v>41</v>
      </c>
      <c r="H34" s="2">
        <v>0</v>
      </c>
      <c r="I34" s="2">
        <v>0</v>
      </c>
      <c r="J34" s="2">
        <v>40.4</v>
      </c>
      <c r="K34" s="2">
        <v>66740.800000000003</v>
      </c>
      <c r="L34" s="2" t="s">
        <v>41</v>
      </c>
      <c r="M34" s="2">
        <v>66740.800000000003</v>
      </c>
      <c r="N34" s="2">
        <v>59512.77</v>
      </c>
      <c r="O34" s="2" t="s">
        <v>41</v>
      </c>
      <c r="P34" s="2">
        <v>531909.62</v>
      </c>
      <c r="Q34" s="2">
        <v>591422.39</v>
      </c>
    </row>
    <row r="35" spans="1:17" ht="15" customHeight="1" x14ac:dyDescent="0.25">
      <c r="A35" s="1" t="s">
        <v>34</v>
      </c>
      <c r="B35" s="1"/>
      <c r="C35" s="1"/>
      <c r="D35" s="2">
        <v>8585.6</v>
      </c>
      <c r="E35" s="2">
        <v>3465.6</v>
      </c>
      <c r="F35" s="2" t="s">
        <v>41</v>
      </c>
      <c r="G35" s="2" t="s">
        <v>41</v>
      </c>
      <c r="H35" s="2">
        <v>0</v>
      </c>
      <c r="I35" s="2">
        <v>0</v>
      </c>
      <c r="J35" s="2">
        <v>16</v>
      </c>
      <c r="K35" s="2">
        <v>32000</v>
      </c>
      <c r="L35" s="2" t="s">
        <v>41</v>
      </c>
      <c r="M35" s="2">
        <v>32000</v>
      </c>
      <c r="N35" s="2">
        <v>28534.400000000001</v>
      </c>
      <c r="O35" s="2">
        <v>38917.03</v>
      </c>
      <c r="P35" s="2" t="s">
        <v>41</v>
      </c>
      <c r="Q35" s="2">
        <v>67451.429999999993</v>
      </c>
    </row>
    <row r="36" spans="1:17" ht="15" customHeight="1" x14ac:dyDescent="0.25">
      <c r="A36" s="1" t="s">
        <v>35</v>
      </c>
      <c r="B36" s="1"/>
      <c r="C36" s="1"/>
      <c r="D36" s="2">
        <v>21812.79</v>
      </c>
      <c r="E36" s="2">
        <v>8804.7900000000009</v>
      </c>
      <c r="F36" s="2" t="s">
        <v>41</v>
      </c>
      <c r="G36" s="2" t="s">
        <v>41</v>
      </c>
      <c r="H36" s="2">
        <v>0</v>
      </c>
      <c r="I36" s="2">
        <v>0</v>
      </c>
      <c r="J36" s="2">
        <v>40.65</v>
      </c>
      <c r="K36" s="2">
        <v>81300</v>
      </c>
      <c r="L36" s="2" t="s">
        <v>41</v>
      </c>
      <c r="M36" s="2">
        <v>81300</v>
      </c>
      <c r="N36" s="2">
        <v>72495.210000000006</v>
      </c>
      <c r="O36" s="2">
        <v>40477.519999999997</v>
      </c>
      <c r="P36" s="2" t="s">
        <v>41</v>
      </c>
      <c r="Q36" s="2">
        <v>112972.73</v>
      </c>
    </row>
    <row r="37" spans="1:17" ht="15" customHeight="1" x14ac:dyDescent="0.25">
      <c r="A37" s="1" t="s">
        <v>36</v>
      </c>
      <c r="B37" s="1"/>
      <c r="C37" s="1"/>
      <c r="D37" s="2">
        <v>882198.86</v>
      </c>
      <c r="E37" s="2">
        <v>356101.9</v>
      </c>
      <c r="F37" s="2">
        <v>17.649999999999999</v>
      </c>
      <c r="G37" s="2">
        <v>38830</v>
      </c>
      <c r="H37" s="2">
        <v>43</v>
      </c>
      <c r="I37" s="2">
        <v>140100</v>
      </c>
      <c r="J37" s="2">
        <v>1398.2</v>
      </c>
      <c r="K37" s="2">
        <v>3109176</v>
      </c>
      <c r="L37" s="2">
        <v>35000</v>
      </c>
      <c r="M37" s="2">
        <v>3288106</v>
      </c>
      <c r="N37" s="2">
        <v>2897004.1</v>
      </c>
      <c r="O37" s="2">
        <v>1276456.3500000001</v>
      </c>
      <c r="P37" s="2">
        <v>7222666.71</v>
      </c>
      <c r="Q37" s="2">
        <v>11396127.16</v>
      </c>
    </row>
  </sheetData>
  <mergeCells count="40">
    <mergeCell ref="A1:C1"/>
    <mergeCell ref="F1:G1"/>
    <mergeCell ref="H1:I1"/>
    <mergeCell ref="J1:K1"/>
    <mergeCell ref="A37:C37"/>
    <mergeCell ref="A32:C32"/>
    <mergeCell ref="A33:C33"/>
    <mergeCell ref="A34:C34"/>
    <mergeCell ref="A35:C35"/>
    <mergeCell ref="A36:C36"/>
    <mergeCell ref="A27:C27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12:C12"/>
    <mergeCell ref="A13:C13"/>
    <mergeCell ref="A14:C14"/>
    <mergeCell ref="A15:C15"/>
    <mergeCell ref="A16:C16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C76DA-D4F3-41B6-B9EB-13621101EEEF}">
  <dimension ref="A1:Q17"/>
  <sheetViews>
    <sheetView workbookViewId="0">
      <selection sqref="A1:XFD1048576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7" width="14.28515625" customWidth="1"/>
    <col min="8" max="8" width="7.140625" bestFit="1" customWidth="1"/>
    <col min="9" max="9" width="14.28515625" customWidth="1"/>
    <col min="10" max="10" width="7.140625" bestFit="1" customWidth="1"/>
    <col min="11" max="17" width="14.28515625" customWidth="1"/>
  </cols>
  <sheetData>
    <row r="1" spans="1:17" ht="45" x14ac:dyDescent="0.25">
      <c r="A1" s="7" t="s">
        <v>51</v>
      </c>
      <c r="B1" s="8"/>
      <c r="C1" s="9"/>
      <c r="D1" s="3"/>
      <c r="E1" s="3"/>
      <c r="F1" s="4" t="s">
        <v>42</v>
      </c>
      <c r="G1" s="4"/>
      <c r="H1" s="4" t="s">
        <v>43</v>
      </c>
      <c r="I1" s="4"/>
      <c r="J1" s="4" t="s">
        <v>52</v>
      </c>
      <c r="K1" s="4"/>
      <c r="L1" s="3" t="s">
        <v>45</v>
      </c>
      <c r="M1" s="3" t="s">
        <v>46</v>
      </c>
      <c r="N1" s="3" t="s">
        <v>47</v>
      </c>
      <c r="O1" s="3" t="s">
        <v>48</v>
      </c>
      <c r="P1" s="3" t="s">
        <v>49</v>
      </c>
      <c r="Q1" s="3" t="s">
        <v>44</v>
      </c>
    </row>
    <row r="2" spans="1:17" ht="30" x14ac:dyDescent="0.25">
      <c r="A2" s="5" t="s">
        <v>1</v>
      </c>
      <c r="B2" s="5"/>
      <c r="C2" s="5"/>
      <c r="D2" s="6" t="s">
        <v>38</v>
      </c>
      <c r="E2" s="3" t="s">
        <v>39</v>
      </c>
      <c r="F2" s="6" t="s">
        <v>0</v>
      </c>
      <c r="G2" s="6" t="s">
        <v>37</v>
      </c>
      <c r="H2" s="6" t="s">
        <v>0</v>
      </c>
      <c r="I2" s="6" t="s">
        <v>37</v>
      </c>
      <c r="J2" s="6" t="s">
        <v>0</v>
      </c>
      <c r="K2" s="6" t="s">
        <v>37</v>
      </c>
      <c r="L2" s="6" t="s">
        <v>37</v>
      </c>
      <c r="M2" s="6" t="s">
        <v>37</v>
      </c>
      <c r="N2" s="6" t="s">
        <v>37</v>
      </c>
      <c r="O2" s="6" t="s">
        <v>37</v>
      </c>
      <c r="P2" s="6" t="s">
        <v>37</v>
      </c>
      <c r="Q2" s="6" t="s">
        <v>37</v>
      </c>
    </row>
    <row r="3" spans="1:17" ht="15" customHeight="1" x14ac:dyDescent="0.25">
      <c r="A3" s="1" t="s">
        <v>53</v>
      </c>
      <c r="B3" s="1"/>
      <c r="C3" s="1"/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 t="s">
        <v>41</v>
      </c>
      <c r="K3" s="2" t="s">
        <v>41</v>
      </c>
      <c r="L3" s="2" t="s">
        <v>41</v>
      </c>
      <c r="M3" s="2">
        <v>0</v>
      </c>
      <c r="N3" s="2">
        <v>0</v>
      </c>
      <c r="O3" s="2">
        <v>71800.2</v>
      </c>
      <c r="P3" s="2" t="s">
        <v>41</v>
      </c>
      <c r="Q3" s="2">
        <v>71800.2</v>
      </c>
    </row>
    <row r="4" spans="1:17" ht="15" customHeight="1" x14ac:dyDescent="0.25">
      <c r="A4" s="1" t="s">
        <v>54</v>
      </c>
      <c r="B4" s="1"/>
      <c r="C4" s="1"/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48</v>
      </c>
      <c r="K4" s="2">
        <v>0</v>
      </c>
      <c r="L4" s="2" t="s">
        <v>41</v>
      </c>
      <c r="M4" s="2">
        <v>0</v>
      </c>
      <c r="N4" s="2">
        <v>0</v>
      </c>
      <c r="O4" s="2" t="s">
        <v>41</v>
      </c>
      <c r="P4" s="2">
        <v>0</v>
      </c>
      <c r="Q4" s="2">
        <v>0</v>
      </c>
    </row>
    <row r="5" spans="1:17" ht="15" customHeight="1" x14ac:dyDescent="0.25">
      <c r="A5" s="1" t="s">
        <v>55</v>
      </c>
      <c r="B5" s="1"/>
      <c r="C5" s="1"/>
      <c r="D5" s="2">
        <v>25756.799999999999</v>
      </c>
      <c r="E5" s="2">
        <v>10396.799999999999</v>
      </c>
      <c r="F5" s="2">
        <v>0</v>
      </c>
      <c r="G5" s="2">
        <v>0</v>
      </c>
      <c r="H5" s="2">
        <v>48</v>
      </c>
      <c r="I5" s="2">
        <v>96000</v>
      </c>
      <c r="J5" s="2" t="s">
        <v>41</v>
      </c>
      <c r="K5" s="2" t="s">
        <v>41</v>
      </c>
      <c r="L5" s="2" t="s">
        <v>41</v>
      </c>
      <c r="M5" s="2">
        <v>96000</v>
      </c>
      <c r="N5" s="2">
        <v>85603.199999999997</v>
      </c>
      <c r="O5" s="2" t="s">
        <v>41</v>
      </c>
      <c r="P5" s="2">
        <v>456438.12</v>
      </c>
      <c r="Q5" s="2">
        <v>542041.31999999995</v>
      </c>
    </row>
    <row r="6" spans="1:17" ht="15" customHeight="1" x14ac:dyDescent="0.25">
      <c r="A6" s="1" t="s">
        <v>56</v>
      </c>
      <c r="B6" s="1"/>
      <c r="C6" s="1"/>
      <c r="D6" s="2">
        <v>46909.57</v>
      </c>
      <c r="E6" s="2">
        <v>18935.169999999998</v>
      </c>
      <c r="F6" s="2">
        <v>5.6</v>
      </c>
      <c r="G6" s="2">
        <v>26040</v>
      </c>
      <c r="H6" s="2">
        <v>48</v>
      </c>
      <c r="I6" s="2">
        <v>148800</v>
      </c>
      <c r="J6" s="2" t="s">
        <v>41</v>
      </c>
      <c r="K6" s="2" t="s">
        <v>41</v>
      </c>
      <c r="L6" s="2">
        <v>30000</v>
      </c>
      <c r="M6" s="2">
        <v>174840</v>
      </c>
      <c r="N6" s="2">
        <v>125904.83</v>
      </c>
      <c r="O6" s="2">
        <v>89244.13</v>
      </c>
      <c r="P6" s="2" t="s">
        <v>41</v>
      </c>
      <c r="Q6" s="2">
        <v>215148.96</v>
      </c>
    </row>
    <row r="7" spans="1:17" ht="15" customHeight="1" x14ac:dyDescent="0.25">
      <c r="A7" s="1" t="s">
        <v>57</v>
      </c>
      <c r="B7" s="1"/>
      <c r="C7" s="1"/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 t="s">
        <v>41</v>
      </c>
      <c r="K7" s="2" t="s">
        <v>41</v>
      </c>
      <c r="L7" s="2" t="s">
        <v>41</v>
      </c>
      <c r="M7" s="2">
        <v>0</v>
      </c>
      <c r="N7" s="2">
        <v>0</v>
      </c>
      <c r="O7" s="2" t="s">
        <v>41</v>
      </c>
      <c r="P7" s="2">
        <v>486516.64</v>
      </c>
      <c r="Q7" s="2">
        <v>486516.64</v>
      </c>
    </row>
    <row r="8" spans="1:17" ht="15" customHeight="1" x14ac:dyDescent="0.25">
      <c r="A8" s="1" t="s">
        <v>58</v>
      </c>
      <c r="B8" s="1"/>
      <c r="C8" s="1"/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 t="s">
        <v>41</v>
      </c>
      <c r="K8" s="2" t="s">
        <v>41</v>
      </c>
      <c r="L8" s="2" t="s">
        <v>41</v>
      </c>
      <c r="M8" s="2">
        <v>0</v>
      </c>
      <c r="N8" s="2">
        <v>0</v>
      </c>
      <c r="O8" s="2" t="s">
        <v>41</v>
      </c>
      <c r="P8" s="2">
        <v>477977.33</v>
      </c>
      <c r="Q8" s="2">
        <v>477977.33</v>
      </c>
    </row>
    <row r="9" spans="1:17" ht="15" customHeight="1" x14ac:dyDescent="0.25">
      <c r="A9" s="1" t="s">
        <v>59</v>
      </c>
      <c r="B9" s="1"/>
      <c r="C9" s="1"/>
      <c r="D9" s="2">
        <v>47328.12</v>
      </c>
      <c r="E9" s="2">
        <v>19104.12</v>
      </c>
      <c r="F9" s="2">
        <v>10</v>
      </c>
      <c r="G9" s="2">
        <v>42000</v>
      </c>
      <c r="H9" s="2">
        <v>48</v>
      </c>
      <c r="I9" s="2">
        <v>134400</v>
      </c>
      <c r="J9" s="2" t="s">
        <v>41</v>
      </c>
      <c r="K9" s="2" t="s">
        <v>41</v>
      </c>
      <c r="L9" s="2" t="s">
        <v>41</v>
      </c>
      <c r="M9" s="2">
        <v>176400</v>
      </c>
      <c r="N9" s="2">
        <v>157295.88</v>
      </c>
      <c r="O9" s="2">
        <v>89244.13</v>
      </c>
      <c r="P9" s="2" t="s">
        <v>41</v>
      </c>
      <c r="Q9" s="2">
        <v>246540.01</v>
      </c>
    </row>
    <row r="10" spans="1:17" ht="15" customHeight="1" x14ac:dyDescent="0.25">
      <c r="A10" s="1" t="s">
        <v>60</v>
      </c>
      <c r="B10" s="1"/>
      <c r="C10" s="1"/>
      <c r="D10" s="2">
        <v>32196</v>
      </c>
      <c r="E10" s="2">
        <v>12996</v>
      </c>
      <c r="F10" s="2">
        <v>0</v>
      </c>
      <c r="G10" s="2">
        <v>0</v>
      </c>
      <c r="H10" s="2">
        <v>48</v>
      </c>
      <c r="I10" s="2">
        <v>120000</v>
      </c>
      <c r="J10" s="2" t="s">
        <v>41</v>
      </c>
      <c r="K10" s="2" t="s">
        <v>41</v>
      </c>
      <c r="L10" s="2" t="s">
        <v>41</v>
      </c>
      <c r="M10" s="2">
        <v>120000</v>
      </c>
      <c r="N10" s="2">
        <v>107004</v>
      </c>
      <c r="O10" s="2">
        <v>72865.88</v>
      </c>
      <c r="P10" s="2" t="s">
        <v>41</v>
      </c>
      <c r="Q10" s="2">
        <v>179869.88</v>
      </c>
    </row>
    <row r="11" spans="1:17" ht="15" customHeight="1" x14ac:dyDescent="0.25">
      <c r="A11" s="1" t="s">
        <v>61</v>
      </c>
      <c r="B11" s="1"/>
      <c r="C11" s="1"/>
      <c r="D11" s="2">
        <v>36059.519999999997</v>
      </c>
      <c r="E11" s="2">
        <v>14555.52</v>
      </c>
      <c r="F11" s="2">
        <v>0</v>
      </c>
      <c r="G11" s="2">
        <v>0</v>
      </c>
      <c r="H11" s="2">
        <v>48</v>
      </c>
      <c r="I11" s="2">
        <v>134400</v>
      </c>
      <c r="J11" s="2" t="s">
        <v>41</v>
      </c>
      <c r="K11" s="2" t="s">
        <v>41</v>
      </c>
      <c r="L11" s="2" t="s">
        <v>41</v>
      </c>
      <c r="M11" s="2">
        <v>134400</v>
      </c>
      <c r="N11" s="2">
        <v>119844.48</v>
      </c>
      <c r="O11" s="2">
        <v>95867.78</v>
      </c>
      <c r="P11" s="2" t="s">
        <v>41</v>
      </c>
      <c r="Q11" s="2">
        <v>215712.26</v>
      </c>
    </row>
    <row r="12" spans="1:17" ht="15" customHeight="1" x14ac:dyDescent="0.25">
      <c r="A12" s="1" t="s">
        <v>62</v>
      </c>
      <c r="B12" s="1"/>
      <c r="C12" s="1"/>
      <c r="D12" s="2">
        <v>33705.19</v>
      </c>
      <c r="E12" s="2">
        <v>13605.19</v>
      </c>
      <c r="F12" s="2">
        <v>1.5</v>
      </c>
      <c r="G12" s="2">
        <v>5625</v>
      </c>
      <c r="H12" s="2">
        <v>48</v>
      </c>
      <c r="I12" s="2">
        <v>120000</v>
      </c>
      <c r="J12" s="2" t="s">
        <v>41</v>
      </c>
      <c r="K12" s="2" t="s">
        <v>41</v>
      </c>
      <c r="L12" s="2" t="s">
        <v>41</v>
      </c>
      <c r="M12" s="2">
        <v>125625</v>
      </c>
      <c r="N12" s="2">
        <v>112019.81</v>
      </c>
      <c r="O12" s="2">
        <v>67973.06</v>
      </c>
      <c r="P12" s="2" t="s">
        <v>41</v>
      </c>
      <c r="Q12" s="2">
        <v>179992.87</v>
      </c>
    </row>
    <row r="13" spans="1:17" ht="15" customHeight="1" x14ac:dyDescent="0.25">
      <c r="A13" s="1" t="s">
        <v>63</v>
      </c>
      <c r="B13" s="1"/>
      <c r="C13" s="1"/>
      <c r="D13" s="2">
        <v>25756.799999999999</v>
      </c>
      <c r="E13" s="2">
        <v>10396.799999999999</v>
      </c>
      <c r="F13" s="2">
        <v>0</v>
      </c>
      <c r="G13" s="2">
        <v>0</v>
      </c>
      <c r="H13" s="2">
        <v>48</v>
      </c>
      <c r="I13" s="2">
        <v>96000</v>
      </c>
      <c r="J13" s="2" t="s">
        <v>41</v>
      </c>
      <c r="K13" s="2" t="s">
        <v>41</v>
      </c>
      <c r="L13" s="2" t="s">
        <v>41</v>
      </c>
      <c r="M13" s="2">
        <v>96000</v>
      </c>
      <c r="N13" s="2">
        <v>85603.199999999997</v>
      </c>
      <c r="O13" s="2">
        <v>70100.17</v>
      </c>
      <c r="P13" s="2" t="s">
        <v>41</v>
      </c>
      <c r="Q13" s="2">
        <v>155703.37</v>
      </c>
    </row>
    <row r="14" spans="1:17" ht="15" customHeight="1" x14ac:dyDescent="0.25">
      <c r="A14" s="1" t="s">
        <v>64</v>
      </c>
      <c r="B14" s="1"/>
      <c r="C14" s="1"/>
      <c r="D14" s="2">
        <v>21256.9</v>
      </c>
      <c r="E14" s="2">
        <v>8580.4</v>
      </c>
      <c r="F14" s="2">
        <v>0</v>
      </c>
      <c r="G14" s="2">
        <v>0</v>
      </c>
      <c r="H14" s="2">
        <v>46.55</v>
      </c>
      <c r="I14" s="2">
        <v>79228.100000000006</v>
      </c>
      <c r="J14" s="2" t="s">
        <v>41</v>
      </c>
      <c r="K14" s="2" t="s">
        <v>41</v>
      </c>
      <c r="L14" s="2" t="s">
        <v>41</v>
      </c>
      <c r="M14" s="2">
        <v>79228.100000000006</v>
      </c>
      <c r="N14" s="2">
        <v>70647.7</v>
      </c>
      <c r="O14" s="2" t="s">
        <v>41</v>
      </c>
      <c r="P14" s="2">
        <v>514405.42</v>
      </c>
      <c r="Q14" s="2">
        <v>585053.12</v>
      </c>
    </row>
    <row r="15" spans="1:17" ht="15" customHeight="1" x14ac:dyDescent="0.25">
      <c r="A15" s="1" t="s">
        <v>65</v>
      </c>
      <c r="B15" s="1"/>
      <c r="C15" s="1"/>
      <c r="D15" s="2">
        <v>17695.060000000001</v>
      </c>
      <c r="E15" s="2">
        <v>7142.66</v>
      </c>
      <c r="F15" s="2">
        <v>0</v>
      </c>
      <c r="G15" s="2">
        <v>0</v>
      </c>
      <c r="H15" s="2">
        <v>38.75</v>
      </c>
      <c r="I15" s="2">
        <v>65952.5</v>
      </c>
      <c r="J15" s="2" t="s">
        <v>41</v>
      </c>
      <c r="K15" s="2" t="s">
        <v>41</v>
      </c>
      <c r="L15" s="2" t="s">
        <v>41</v>
      </c>
      <c r="M15" s="2">
        <v>65952.5</v>
      </c>
      <c r="N15" s="2">
        <v>58809.84</v>
      </c>
      <c r="O15" s="2" t="s">
        <v>41</v>
      </c>
      <c r="P15" s="2">
        <v>310554.45</v>
      </c>
      <c r="Q15" s="2">
        <v>369364.29</v>
      </c>
    </row>
    <row r="16" spans="1:17" ht="15" customHeight="1" x14ac:dyDescent="0.25">
      <c r="A16" s="1" t="s">
        <v>66</v>
      </c>
      <c r="B16" s="1"/>
      <c r="C16" s="1"/>
      <c r="D16" s="2">
        <v>25365.08</v>
      </c>
      <c r="E16" s="2">
        <v>10238.68</v>
      </c>
      <c r="F16" s="2">
        <v>0</v>
      </c>
      <c r="G16" s="2">
        <v>0</v>
      </c>
      <c r="H16" s="2">
        <v>47.27</v>
      </c>
      <c r="I16" s="2">
        <v>94540</v>
      </c>
      <c r="J16" s="2" t="s">
        <v>41</v>
      </c>
      <c r="K16" s="2" t="s">
        <v>41</v>
      </c>
      <c r="L16" s="2" t="s">
        <v>41</v>
      </c>
      <c r="M16" s="2">
        <v>94540</v>
      </c>
      <c r="N16" s="2">
        <v>84301.32</v>
      </c>
      <c r="O16" s="2" t="s">
        <v>41</v>
      </c>
      <c r="P16" s="2">
        <v>473062.76</v>
      </c>
      <c r="Q16" s="2">
        <v>557364.07999999996</v>
      </c>
    </row>
    <row r="17" spans="1:17" ht="15" customHeight="1" x14ac:dyDescent="0.25">
      <c r="A17" s="1" t="s">
        <v>36</v>
      </c>
      <c r="B17" s="1"/>
      <c r="C17" s="1"/>
      <c r="D17" s="2">
        <v>312029.03999999998</v>
      </c>
      <c r="E17" s="2">
        <v>125951.34</v>
      </c>
      <c r="F17" s="2">
        <v>17.100000000000001</v>
      </c>
      <c r="G17" s="2">
        <v>73665</v>
      </c>
      <c r="H17" s="2">
        <v>468.57</v>
      </c>
      <c r="I17" s="2">
        <v>1089320.6000000001</v>
      </c>
      <c r="J17" s="2">
        <v>48</v>
      </c>
      <c r="K17" s="2">
        <v>0</v>
      </c>
      <c r="L17" s="2">
        <v>30000</v>
      </c>
      <c r="M17" s="2">
        <v>1162985.6000000001</v>
      </c>
      <c r="N17" s="2">
        <v>1007034.26</v>
      </c>
      <c r="O17" s="2">
        <v>557095.35</v>
      </c>
      <c r="P17" s="2">
        <v>2718954.72</v>
      </c>
      <c r="Q17" s="2">
        <v>4283084.33</v>
      </c>
    </row>
  </sheetData>
  <mergeCells count="20">
    <mergeCell ref="A16:C16"/>
    <mergeCell ref="A17:C17"/>
    <mergeCell ref="A10:C10"/>
    <mergeCell ref="A11:C11"/>
    <mergeCell ref="A12:C12"/>
    <mergeCell ref="A13:C13"/>
    <mergeCell ref="A14:C14"/>
    <mergeCell ref="A15:C15"/>
    <mergeCell ref="A4:C4"/>
    <mergeCell ref="A5:C5"/>
    <mergeCell ref="A6:C6"/>
    <mergeCell ref="A7:C7"/>
    <mergeCell ref="A8:C8"/>
    <mergeCell ref="A9:C9"/>
    <mergeCell ref="A1:C1"/>
    <mergeCell ref="F1:G1"/>
    <mergeCell ref="H1:I1"/>
    <mergeCell ref="J1:K1"/>
    <mergeCell ref="A2:C2"/>
    <mergeCell ref="A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398E2-5900-4C13-AC65-17A2AF0F46EF}">
  <dimension ref="A1:P12"/>
  <sheetViews>
    <sheetView workbookViewId="0">
      <selection sqref="A1:XFD1048576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7" width="14.28515625" customWidth="1"/>
    <col min="8" max="8" width="7.140625" bestFit="1" customWidth="1"/>
    <col min="9" max="9" width="14.28515625" customWidth="1"/>
    <col min="10" max="10" width="7.140625" bestFit="1" customWidth="1"/>
    <col min="11" max="16" width="14.28515625" customWidth="1"/>
  </cols>
  <sheetData>
    <row r="1" spans="1:16" ht="45" x14ac:dyDescent="0.25">
      <c r="A1" s="7" t="s">
        <v>67</v>
      </c>
      <c r="B1" s="8"/>
      <c r="C1" s="9"/>
      <c r="D1" s="10"/>
      <c r="E1" s="10"/>
      <c r="F1" s="4" t="s">
        <v>68</v>
      </c>
      <c r="G1" s="4"/>
      <c r="H1" s="4" t="s">
        <v>42</v>
      </c>
      <c r="I1" s="4"/>
      <c r="J1" s="4" t="s">
        <v>43</v>
      </c>
      <c r="K1" s="4"/>
      <c r="L1" s="10" t="s">
        <v>46</v>
      </c>
      <c r="M1" s="10" t="s">
        <v>47</v>
      </c>
      <c r="N1" s="10" t="s">
        <v>48</v>
      </c>
      <c r="O1" s="10" t="s">
        <v>49</v>
      </c>
      <c r="P1" s="10" t="s">
        <v>44</v>
      </c>
    </row>
    <row r="2" spans="1:16" ht="30" x14ac:dyDescent="0.25">
      <c r="A2" s="11" t="s">
        <v>1</v>
      </c>
      <c r="B2" s="11"/>
      <c r="C2" s="11"/>
      <c r="D2" s="12" t="s">
        <v>38</v>
      </c>
      <c r="E2" s="10" t="s">
        <v>39</v>
      </c>
      <c r="F2" s="12" t="s">
        <v>0</v>
      </c>
      <c r="G2" s="12" t="s">
        <v>37</v>
      </c>
      <c r="H2" s="12" t="s">
        <v>0</v>
      </c>
      <c r="I2" s="12" t="s">
        <v>37</v>
      </c>
      <c r="J2" s="12" t="s">
        <v>0</v>
      </c>
      <c r="K2" s="12" t="s">
        <v>37</v>
      </c>
      <c r="L2" s="12" t="s">
        <v>37</v>
      </c>
      <c r="M2" s="12" t="s">
        <v>37</v>
      </c>
      <c r="N2" s="12" t="s">
        <v>37</v>
      </c>
      <c r="O2" s="12" t="s">
        <v>37</v>
      </c>
      <c r="P2" s="12" t="s">
        <v>37</v>
      </c>
    </row>
    <row r="3" spans="1:16" ht="15" customHeight="1" x14ac:dyDescent="0.25">
      <c r="A3" s="13" t="s">
        <v>69</v>
      </c>
      <c r="B3" s="13"/>
      <c r="C3" s="13"/>
      <c r="D3" s="14">
        <v>38313.24</v>
      </c>
      <c r="E3" s="14">
        <v>15465.24</v>
      </c>
      <c r="F3" s="14" t="s">
        <v>41</v>
      </c>
      <c r="G3" s="14" t="s">
        <v>41</v>
      </c>
      <c r="H3" s="14">
        <v>2</v>
      </c>
      <c r="I3" s="14">
        <v>8400</v>
      </c>
      <c r="J3" s="14">
        <v>48</v>
      </c>
      <c r="K3" s="14">
        <v>134400</v>
      </c>
      <c r="L3" s="14">
        <v>142800</v>
      </c>
      <c r="M3" s="14">
        <v>127334.76</v>
      </c>
      <c r="N3" s="14">
        <v>17438.330000000002</v>
      </c>
      <c r="O3" s="14" t="s">
        <v>41</v>
      </c>
      <c r="P3" s="14">
        <v>144773.09</v>
      </c>
    </row>
    <row r="4" spans="1:16" ht="15" customHeight="1" x14ac:dyDescent="0.25">
      <c r="A4" s="13" t="s">
        <v>70</v>
      </c>
      <c r="B4" s="13"/>
      <c r="C4" s="13"/>
      <c r="D4" s="14">
        <v>31874.04</v>
      </c>
      <c r="E4" s="14">
        <v>12866.04</v>
      </c>
      <c r="F4" s="14" t="s">
        <v>41</v>
      </c>
      <c r="G4" s="14" t="s">
        <v>41</v>
      </c>
      <c r="H4" s="14">
        <v>1</v>
      </c>
      <c r="I4" s="14">
        <v>3600</v>
      </c>
      <c r="J4" s="14">
        <v>48</v>
      </c>
      <c r="K4" s="14">
        <v>115200</v>
      </c>
      <c r="L4" s="14">
        <v>118800</v>
      </c>
      <c r="M4" s="14">
        <v>105933.96</v>
      </c>
      <c r="N4" s="14" t="s">
        <v>41</v>
      </c>
      <c r="O4" s="14">
        <v>94081.66</v>
      </c>
      <c r="P4" s="14">
        <v>200015.62</v>
      </c>
    </row>
    <row r="5" spans="1:16" ht="15" customHeight="1" x14ac:dyDescent="0.25">
      <c r="A5" s="13" t="s">
        <v>71</v>
      </c>
      <c r="B5" s="13"/>
      <c r="C5" s="13"/>
      <c r="D5" s="14">
        <v>23610.400000000001</v>
      </c>
      <c r="E5" s="14">
        <v>9530.4</v>
      </c>
      <c r="F5" s="14" t="s">
        <v>41</v>
      </c>
      <c r="G5" s="14" t="s">
        <v>41</v>
      </c>
      <c r="H5" s="14">
        <v>0</v>
      </c>
      <c r="I5" s="14">
        <v>0</v>
      </c>
      <c r="J5" s="14">
        <v>44</v>
      </c>
      <c r="K5" s="14">
        <v>88000</v>
      </c>
      <c r="L5" s="14">
        <v>88000</v>
      </c>
      <c r="M5" s="14">
        <v>78469.600000000006</v>
      </c>
      <c r="N5" s="14">
        <v>14814.26</v>
      </c>
      <c r="O5" s="14">
        <v>0</v>
      </c>
      <c r="P5" s="14">
        <v>93283.86</v>
      </c>
    </row>
    <row r="6" spans="1:16" ht="15" customHeight="1" x14ac:dyDescent="0.25">
      <c r="A6" s="13" t="s">
        <v>72</v>
      </c>
      <c r="B6" s="13"/>
      <c r="C6" s="13"/>
      <c r="D6" s="14">
        <v>38635.199999999997</v>
      </c>
      <c r="E6" s="14">
        <v>15595.2</v>
      </c>
      <c r="F6" s="14" t="s">
        <v>41</v>
      </c>
      <c r="G6" s="14" t="s">
        <v>41</v>
      </c>
      <c r="H6" s="14">
        <v>0</v>
      </c>
      <c r="I6" s="14">
        <v>0</v>
      </c>
      <c r="J6" s="14">
        <v>48</v>
      </c>
      <c r="K6" s="14">
        <v>144000</v>
      </c>
      <c r="L6" s="14">
        <v>144000</v>
      </c>
      <c r="M6" s="14">
        <v>128404.8</v>
      </c>
      <c r="N6" s="14">
        <v>17438.330000000002</v>
      </c>
      <c r="O6" s="14" t="s">
        <v>41</v>
      </c>
      <c r="P6" s="14">
        <v>145843.13</v>
      </c>
    </row>
    <row r="7" spans="1:16" ht="15" customHeight="1" x14ac:dyDescent="0.25">
      <c r="A7" s="13" t="s">
        <v>73</v>
      </c>
      <c r="B7" s="13"/>
      <c r="C7" s="13"/>
      <c r="D7" s="14">
        <v>47086.65</v>
      </c>
      <c r="E7" s="14">
        <v>19006.650000000001</v>
      </c>
      <c r="F7" s="14" t="s">
        <v>41</v>
      </c>
      <c r="G7" s="14" t="s">
        <v>41</v>
      </c>
      <c r="H7" s="14">
        <v>7</v>
      </c>
      <c r="I7" s="14">
        <v>31500</v>
      </c>
      <c r="J7" s="14">
        <v>48</v>
      </c>
      <c r="K7" s="14">
        <v>144000</v>
      </c>
      <c r="L7" s="14">
        <v>175500</v>
      </c>
      <c r="M7" s="14">
        <v>156493.35</v>
      </c>
      <c r="N7" s="14" t="s">
        <v>41</v>
      </c>
      <c r="O7" s="14" t="s">
        <v>41</v>
      </c>
      <c r="P7" s="14">
        <v>156493.35</v>
      </c>
    </row>
    <row r="8" spans="1:16" ht="15" customHeight="1" x14ac:dyDescent="0.25">
      <c r="A8" s="13" t="s">
        <v>74</v>
      </c>
      <c r="B8" s="13"/>
      <c r="C8" s="13"/>
      <c r="D8" s="14">
        <v>37226.629999999997</v>
      </c>
      <c r="E8" s="14">
        <v>15026.63</v>
      </c>
      <c r="F8" s="14" t="s">
        <v>41</v>
      </c>
      <c r="G8" s="14" t="s">
        <v>41</v>
      </c>
      <c r="H8" s="14">
        <v>5</v>
      </c>
      <c r="I8" s="14">
        <v>18750</v>
      </c>
      <c r="J8" s="14">
        <v>48</v>
      </c>
      <c r="K8" s="14">
        <v>120000</v>
      </c>
      <c r="L8" s="14">
        <v>138750</v>
      </c>
      <c r="M8" s="14">
        <v>123723.37</v>
      </c>
      <c r="N8" s="14">
        <v>29212.86</v>
      </c>
      <c r="O8" s="14" t="s">
        <v>41</v>
      </c>
      <c r="P8" s="14">
        <v>152936.23000000001</v>
      </c>
    </row>
    <row r="9" spans="1:16" ht="15" customHeight="1" x14ac:dyDescent="0.25">
      <c r="A9" s="13" t="s">
        <v>75</v>
      </c>
      <c r="B9" s="13"/>
      <c r="C9" s="13"/>
      <c r="D9" s="14">
        <v>25917.78</v>
      </c>
      <c r="E9" s="14">
        <v>10461.780000000001</v>
      </c>
      <c r="F9" s="14" t="s">
        <v>41</v>
      </c>
      <c r="G9" s="14" t="s">
        <v>41</v>
      </c>
      <c r="H9" s="14">
        <v>0</v>
      </c>
      <c r="I9" s="14">
        <v>0</v>
      </c>
      <c r="J9" s="14">
        <v>42</v>
      </c>
      <c r="K9" s="14">
        <v>96600</v>
      </c>
      <c r="L9" s="14">
        <v>96600</v>
      </c>
      <c r="M9" s="14">
        <v>86138.22</v>
      </c>
      <c r="N9" s="14" t="s">
        <v>41</v>
      </c>
      <c r="O9" s="14">
        <v>79424.210000000006</v>
      </c>
      <c r="P9" s="14">
        <v>165562.43</v>
      </c>
    </row>
    <row r="10" spans="1:16" ht="15" customHeight="1" x14ac:dyDescent="0.25">
      <c r="A10" s="13" t="s">
        <v>76</v>
      </c>
      <c r="B10" s="13"/>
      <c r="C10" s="13"/>
      <c r="D10" s="14">
        <v>35214.379999999997</v>
      </c>
      <c r="E10" s="14">
        <v>14214.38</v>
      </c>
      <c r="F10" s="14" t="s">
        <v>41</v>
      </c>
      <c r="G10" s="14" t="s">
        <v>41</v>
      </c>
      <c r="H10" s="14">
        <v>3</v>
      </c>
      <c r="I10" s="14">
        <v>11250</v>
      </c>
      <c r="J10" s="14">
        <v>48</v>
      </c>
      <c r="K10" s="14">
        <v>120000</v>
      </c>
      <c r="L10" s="14">
        <v>131250</v>
      </c>
      <c r="M10" s="14">
        <v>117035.62</v>
      </c>
      <c r="N10" s="14">
        <v>17438.330000000002</v>
      </c>
      <c r="O10" s="14" t="s">
        <v>41</v>
      </c>
      <c r="P10" s="14">
        <v>134473.95000000001</v>
      </c>
    </row>
    <row r="11" spans="1:16" ht="15" customHeight="1" x14ac:dyDescent="0.25">
      <c r="A11" s="13" t="s">
        <v>77</v>
      </c>
      <c r="B11" s="13"/>
      <c r="C11" s="13"/>
      <c r="D11" s="14">
        <v>64552.98</v>
      </c>
      <c r="E11" s="14">
        <v>26056.98</v>
      </c>
      <c r="F11" s="14">
        <v>96</v>
      </c>
      <c r="G11" s="14">
        <v>192000</v>
      </c>
      <c r="H11" s="14">
        <v>0</v>
      </c>
      <c r="I11" s="14">
        <v>0</v>
      </c>
      <c r="J11" s="14">
        <v>24.3</v>
      </c>
      <c r="K11" s="14">
        <v>48600</v>
      </c>
      <c r="L11" s="14">
        <v>240600</v>
      </c>
      <c r="M11" s="14">
        <v>214543.02</v>
      </c>
      <c r="N11" s="14">
        <v>9301.67</v>
      </c>
      <c r="O11" s="14" t="s">
        <v>41</v>
      </c>
      <c r="P11" s="14">
        <v>223844.69</v>
      </c>
    </row>
    <row r="12" spans="1:16" ht="15" customHeight="1" x14ac:dyDescent="0.25">
      <c r="A12" s="13" t="s">
        <v>36</v>
      </c>
      <c r="B12" s="13"/>
      <c r="C12" s="13"/>
      <c r="D12" s="14">
        <v>342431.3</v>
      </c>
      <c r="E12" s="14">
        <v>138223.29999999999</v>
      </c>
      <c r="F12" s="14">
        <v>96</v>
      </c>
      <c r="G12" s="14">
        <v>192000</v>
      </c>
      <c r="H12" s="14">
        <v>18</v>
      </c>
      <c r="I12" s="14">
        <v>73500</v>
      </c>
      <c r="J12" s="14">
        <v>398.3</v>
      </c>
      <c r="K12" s="14">
        <v>1010800</v>
      </c>
      <c r="L12" s="14">
        <v>1276300</v>
      </c>
      <c r="M12" s="14">
        <v>1138076.7</v>
      </c>
      <c r="N12" s="14">
        <v>105643.78</v>
      </c>
      <c r="O12" s="14">
        <v>173505.87</v>
      </c>
      <c r="P12" s="14">
        <v>1417226.35</v>
      </c>
    </row>
  </sheetData>
  <mergeCells count="15">
    <mergeCell ref="A10:C10"/>
    <mergeCell ref="A11:C11"/>
    <mergeCell ref="A12:C12"/>
    <mergeCell ref="A4:C4"/>
    <mergeCell ref="A5:C5"/>
    <mergeCell ref="A6:C6"/>
    <mergeCell ref="A7:C7"/>
    <mergeCell ref="A8:C8"/>
    <mergeCell ref="A9:C9"/>
    <mergeCell ref="A1:C1"/>
    <mergeCell ref="F1:G1"/>
    <mergeCell ref="H1:I1"/>
    <mergeCell ref="J1:K1"/>
    <mergeCell ref="A2:C2"/>
    <mergeCell ref="A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70D58-A739-4C35-B216-F38BF3282F89}">
  <dimension ref="A1:Q8"/>
  <sheetViews>
    <sheetView tabSelected="1" workbookViewId="0">
      <selection activeCell="F15" sqref="F15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34" customWidth="1"/>
    <col min="4" max="5" width="14.28515625" customWidth="1"/>
    <col min="6" max="6" width="7.140625" bestFit="1" customWidth="1"/>
    <col min="7" max="7" width="14.28515625" customWidth="1"/>
    <col min="8" max="8" width="7.140625" bestFit="1" customWidth="1"/>
    <col min="9" max="17" width="14.28515625" customWidth="1"/>
  </cols>
  <sheetData>
    <row r="1" spans="1:17" ht="31.5" customHeight="1" x14ac:dyDescent="0.25">
      <c r="A1" s="7" t="s">
        <v>78</v>
      </c>
      <c r="B1" s="8"/>
      <c r="C1" s="9"/>
      <c r="D1" s="4" t="s">
        <v>42</v>
      </c>
      <c r="E1" s="4"/>
      <c r="F1" s="4" t="s">
        <v>79</v>
      </c>
      <c r="G1" s="4"/>
      <c r="H1" s="4" t="s">
        <v>43</v>
      </c>
      <c r="I1" s="4"/>
      <c r="J1" s="3" t="s">
        <v>45</v>
      </c>
      <c r="K1" s="3" t="s">
        <v>46</v>
      </c>
      <c r="L1" s="3" t="s">
        <v>47</v>
      </c>
      <c r="M1" s="3" t="s">
        <v>48</v>
      </c>
      <c r="N1" s="3"/>
      <c r="O1" s="3" t="s">
        <v>49</v>
      </c>
      <c r="P1" s="3" t="s">
        <v>80</v>
      </c>
      <c r="Q1" s="3" t="s">
        <v>44</v>
      </c>
    </row>
    <row r="2" spans="1:17" ht="15" customHeight="1" x14ac:dyDescent="0.25">
      <c r="A2" s="5" t="s">
        <v>1</v>
      </c>
      <c r="B2" s="5"/>
      <c r="C2" s="5"/>
      <c r="D2" s="6" t="s">
        <v>0</v>
      </c>
      <c r="E2" s="6" t="s">
        <v>37</v>
      </c>
      <c r="F2" s="6" t="s">
        <v>0</v>
      </c>
      <c r="G2" s="6" t="s">
        <v>37</v>
      </c>
      <c r="H2" s="6" t="s">
        <v>0</v>
      </c>
      <c r="I2" s="6" t="s">
        <v>37</v>
      </c>
      <c r="J2" s="6" t="s">
        <v>37</v>
      </c>
      <c r="K2" s="6" t="s">
        <v>37</v>
      </c>
      <c r="L2" s="6" t="s">
        <v>37</v>
      </c>
      <c r="M2" s="6" t="s">
        <v>0</v>
      </c>
      <c r="N2" s="6" t="s">
        <v>37</v>
      </c>
      <c r="O2" s="6" t="s">
        <v>37</v>
      </c>
      <c r="P2" s="6" t="s">
        <v>37</v>
      </c>
      <c r="Q2" s="6" t="s">
        <v>37</v>
      </c>
    </row>
    <row r="3" spans="1:17" ht="15" customHeight="1" x14ac:dyDescent="0.25">
      <c r="A3" s="1" t="s">
        <v>81</v>
      </c>
      <c r="B3" s="1"/>
      <c r="C3" s="1"/>
      <c r="D3" s="2">
        <v>2</v>
      </c>
      <c r="E3" s="2">
        <v>8100</v>
      </c>
      <c r="F3" s="2">
        <f>G3/2500</f>
        <v>44.9</v>
      </c>
      <c r="G3" s="2">
        <v>112250</v>
      </c>
      <c r="H3" s="2">
        <v>48</v>
      </c>
      <c r="I3" s="2">
        <v>129600</v>
      </c>
      <c r="J3" s="2">
        <v>50000</v>
      </c>
      <c r="K3" s="2">
        <v>249950</v>
      </c>
      <c r="L3" s="2">
        <v>199950</v>
      </c>
      <c r="M3" s="2">
        <v>0</v>
      </c>
      <c r="N3" s="2">
        <v>86603.56</v>
      </c>
      <c r="O3" s="2" t="s">
        <v>41</v>
      </c>
      <c r="P3" s="2" t="s">
        <v>41</v>
      </c>
      <c r="Q3" s="2">
        <v>286553.56</v>
      </c>
    </row>
    <row r="4" spans="1:17" ht="15" customHeight="1" x14ac:dyDescent="0.25">
      <c r="A4" s="1" t="s">
        <v>82</v>
      </c>
      <c r="B4" s="1"/>
      <c r="C4" s="1"/>
      <c r="D4" s="2">
        <v>0</v>
      </c>
      <c r="E4" s="2">
        <v>0</v>
      </c>
      <c r="F4" s="2" t="s">
        <v>41</v>
      </c>
      <c r="G4" s="2" t="s">
        <v>41</v>
      </c>
      <c r="H4" s="2">
        <v>48</v>
      </c>
      <c r="I4" s="2">
        <v>81696</v>
      </c>
      <c r="J4" s="2" t="s">
        <v>41</v>
      </c>
      <c r="K4" s="2">
        <v>81696</v>
      </c>
      <c r="L4" s="2">
        <v>81696</v>
      </c>
      <c r="M4" s="2" t="s">
        <v>41</v>
      </c>
      <c r="N4" s="2" t="s">
        <v>41</v>
      </c>
      <c r="O4" s="2">
        <v>484684.39</v>
      </c>
      <c r="P4" s="2" t="s">
        <v>41</v>
      </c>
      <c r="Q4" s="2">
        <v>566380.39</v>
      </c>
    </row>
    <row r="5" spans="1:17" ht="15" customHeight="1" x14ac:dyDescent="0.25">
      <c r="A5" s="1" t="s">
        <v>83</v>
      </c>
      <c r="B5" s="1"/>
      <c r="C5" s="1"/>
      <c r="D5" s="2">
        <v>0</v>
      </c>
      <c r="E5" s="2">
        <v>0</v>
      </c>
      <c r="F5" s="2" t="s">
        <v>41</v>
      </c>
      <c r="G5" s="2" t="s">
        <v>41</v>
      </c>
      <c r="H5" s="2">
        <v>48</v>
      </c>
      <c r="I5" s="2">
        <v>134400</v>
      </c>
      <c r="J5" s="2" t="s">
        <v>41</v>
      </c>
      <c r="K5" s="2">
        <v>134400</v>
      </c>
      <c r="L5" s="2">
        <v>134400</v>
      </c>
      <c r="M5" s="2">
        <v>0</v>
      </c>
      <c r="N5" s="2">
        <v>0</v>
      </c>
      <c r="O5" s="2" t="s">
        <v>41</v>
      </c>
      <c r="P5" s="2" t="s">
        <v>41</v>
      </c>
      <c r="Q5" s="2">
        <v>134400</v>
      </c>
    </row>
    <row r="6" spans="1:17" ht="15" customHeight="1" x14ac:dyDescent="0.25">
      <c r="A6" s="1" t="s">
        <v>84</v>
      </c>
      <c r="B6" s="1"/>
      <c r="C6" s="1"/>
      <c r="D6" s="2">
        <v>0</v>
      </c>
      <c r="E6" s="2">
        <v>0</v>
      </c>
      <c r="F6" s="2" t="s">
        <v>41</v>
      </c>
      <c r="G6" s="2" t="s">
        <v>41</v>
      </c>
      <c r="H6" s="2">
        <v>41</v>
      </c>
      <c r="I6" s="2">
        <v>82000</v>
      </c>
      <c r="J6" s="2" t="s">
        <v>41</v>
      </c>
      <c r="K6" s="2">
        <v>82000</v>
      </c>
      <c r="L6" s="2">
        <v>82000</v>
      </c>
      <c r="M6" s="2">
        <v>0</v>
      </c>
      <c r="N6" s="2">
        <v>36836.82</v>
      </c>
      <c r="O6" s="2" t="s">
        <v>41</v>
      </c>
      <c r="P6" s="2" t="s">
        <v>41</v>
      </c>
      <c r="Q6" s="2">
        <v>118836.82</v>
      </c>
    </row>
    <row r="7" spans="1:17" ht="15" customHeight="1" x14ac:dyDescent="0.25">
      <c r="A7" s="1" t="s">
        <v>85</v>
      </c>
      <c r="B7" s="1"/>
      <c r="C7" s="1"/>
      <c r="D7" s="2">
        <v>2</v>
      </c>
      <c r="E7" s="2">
        <v>6000</v>
      </c>
      <c r="F7" s="2" t="s">
        <v>41</v>
      </c>
      <c r="G7" s="2" t="s">
        <v>41</v>
      </c>
      <c r="H7" s="2">
        <v>48</v>
      </c>
      <c r="I7" s="2">
        <v>96000</v>
      </c>
      <c r="J7" s="2" t="s">
        <v>41</v>
      </c>
      <c r="K7" s="2">
        <v>132000</v>
      </c>
      <c r="L7" s="2">
        <v>132000</v>
      </c>
      <c r="M7" s="2">
        <v>0</v>
      </c>
      <c r="N7" s="2">
        <v>76113.84</v>
      </c>
      <c r="O7" s="2" t="s">
        <v>41</v>
      </c>
      <c r="P7" s="2">
        <v>30000</v>
      </c>
      <c r="Q7" s="2">
        <v>208113.84</v>
      </c>
    </row>
    <row r="8" spans="1:17" ht="15" customHeight="1" x14ac:dyDescent="0.25">
      <c r="A8" s="1" t="s">
        <v>36</v>
      </c>
      <c r="B8" s="1"/>
      <c r="C8" s="1"/>
      <c r="D8" s="2">
        <v>4</v>
      </c>
      <c r="E8" s="2">
        <v>14100</v>
      </c>
      <c r="F8" s="2">
        <v>44.9</v>
      </c>
      <c r="G8" s="2">
        <v>112250</v>
      </c>
      <c r="H8" s="2">
        <v>233</v>
      </c>
      <c r="I8" s="2">
        <v>523696</v>
      </c>
      <c r="J8" s="2">
        <v>50000</v>
      </c>
      <c r="K8" s="2">
        <v>680046</v>
      </c>
      <c r="L8" s="2">
        <v>630046</v>
      </c>
      <c r="M8" s="2">
        <v>0</v>
      </c>
      <c r="N8" s="2">
        <v>199554.22</v>
      </c>
      <c r="O8" s="2">
        <v>484684.39</v>
      </c>
      <c r="P8" s="2">
        <v>30000</v>
      </c>
      <c r="Q8" s="2">
        <v>1314284.6100000001</v>
      </c>
    </row>
  </sheetData>
  <mergeCells count="11">
    <mergeCell ref="A4:C4"/>
    <mergeCell ref="A5:C5"/>
    <mergeCell ref="A6:C6"/>
    <mergeCell ref="A7:C7"/>
    <mergeCell ref="A8:C8"/>
    <mergeCell ref="A1:C1"/>
    <mergeCell ref="D1:E1"/>
    <mergeCell ref="F1:G1"/>
    <mergeCell ref="H1:I1"/>
    <mergeCell ref="A2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 LUNA</vt:lpstr>
      <vt:lpstr>COYOL</vt:lpstr>
      <vt:lpstr>ESH</vt:lpstr>
      <vt:lpstr>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2026-02-03T19:18:32Z</dcterms:modified>
</cp:coreProperties>
</file>