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BILIDAD ENERO 2026\"/>
    </mc:Choice>
  </mc:AlternateContent>
  <xr:revisionPtr revIDLastSave="0" documentId="13_ncr:1_{B0DC8D02-7961-4AE7-AC38-C2B15C4AD2F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4" l="1"/>
  <c r="F20" i="1"/>
</calcChain>
</file>

<file path=xl/sharedStrings.xml><?xml version="1.0" encoding="utf-8"?>
<sst xmlns="http://schemas.openxmlformats.org/spreadsheetml/2006/main" count="405" uniqueCount="90">
  <si>
    <t>Cantidad</t>
  </si>
  <si>
    <t>Desc. empleado</t>
  </si>
  <si>
    <t>ALEJANDRO XAVIER SALAZAR CARVAJAL</t>
  </si>
  <si>
    <t>BRYAN ONIEL ZAMORA CRUZ</t>
  </si>
  <si>
    <t>BYRON ANTONIO ESPINOZA ALVARADO</t>
  </si>
  <si>
    <t>CARLOS VARGAS FERNANDEZ</t>
  </si>
  <si>
    <t>CARMEN ISABEL MUÑOZ ESPINOZA</t>
  </si>
  <si>
    <t>DARWIN TUGWELL FONSECA</t>
  </si>
  <si>
    <t>DIEGO ALEJANDRO LOPEZ ALVAREZ</t>
  </si>
  <si>
    <t>EDER JESUS ROJAS HERNANDEZ</t>
  </si>
  <si>
    <t>ELIZABETH SABALLO MAYORGA</t>
  </si>
  <si>
    <t>ERICK ANTONIO CISNE SILVA</t>
  </si>
  <si>
    <t>ESMERALDA DAYANA LOPEZ MATARRITA</t>
  </si>
  <si>
    <t>EVELYN UGALDE RODRIGUEZ</t>
  </si>
  <si>
    <t>FRANKLIN ALI MENDOZA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</si>
  <si>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</si>
  <si>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</si>
  <si>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</si>
  <si>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</si>
  <si>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</si>
  <si>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</si>
  <si>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JORDAN ENRIQUE JIMENEZ GONZALES</t>
  </si>
  <si>
    <t>JORGE JOSE SILVA ESPINOZA</t>
  </si>
  <si>
    <t>JULIA MARIA ARRIETA EDUARTE</t>
  </si>
  <si>
    <t>KEISY DANIELA RUIZ RUIZ</t>
  </si>
  <si>
    <t>KIMBERLEEN PAOLA MOLINA SOTO</t>
  </si>
  <si>
    <t>LINDA LORENA GUEVARA TORRES</t>
  </si>
  <si>
    <t>MARIA NELA HERNANDEZ GUTIERREZ</t>
  </si>
  <si>
    <t>MARIA TERESA SABALLO MAYORGA</t>
  </si>
  <si>
    <t>MARISELA DEL CARMEN MENDOZA CALERO</t>
  </si>
  <si>
    <t>NIELSI SELENE NAVARRETE GOMEZ</t>
  </si>
  <si>
    <t>ROSAURA CASTILLO ALVARADO</t>
  </si>
  <si>
    <t>SHARON TATIANA MATARRITA SEGURA</t>
  </si>
  <si>
    <t>SOFIA NATALIA CAMPOS BRENEZ</t>
  </si>
  <si>
    <t>VERONICA MEJIA GONZALES</t>
  </si>
  <si>
    <t>YERLING CARRILLO LEAL</t>
  </si>
  <si>
    <t>Total general</t>
  </si>
  <si>
    <t>Monto</t>
  </si>
  <si>
    <t>Aporte patronal CCSS</t>
  </si>
  <si>
    <t>CCSS  (10.83%)</t>
  </si>
  <si>
    <t>Horas Apoyo Esh</t>
  </si>
  <si>
    <t/>
  </si>
  <si>
    <t>Horas Extras Diurnas</t>
  </si>
  <si>
    <t>Horas Regulares Diurnas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</si>
  <si>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</si>
  <si>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</si>
  <si>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</si>
  <si>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</si>
  <si>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</si>
  <si>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</si>
  <si>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NOMINA LA LUNA SEM 09-15 ENE 2026</t>
  </si>
  <si>
    <t>NOMINA ESPECIAL SEM 09-15 ENE 2026</t>
  </si>
  <si>
    <t>Horas Regulares Cocina (2500)</t>
  </si>
  <si>
    <t>Trampas de Grasa</t>
  </si>
  <si>
    <t>ALEJANDRO COYOL</t>
  </si>
  <si>
    <t>ALEXANDER SALAZAR GRANADOS</t>
  </si>
  <si>
    <t>ELVIN JAVIER LOPEZ LOPEZ</t>
  </si>
  <si>
    <t>JASSON ESPINOZA MUÑOZ</t>
  </si>
  <si>
    <t>MARCO GERVASINI</t>
  </si>
  <si>
    <t>RAUL RODRIGUEZ MONTIEL</t>
  </si>
  <si>
    <t>RONALD CRUZ PILA</t>
  </si>
  <si>
    <t>ZELANDIA CRUZ BRENES</t>
  </si>
  <si>
    <t>EL</t>
  </si>
  <si>
    <t>NOMINA ESH SEM 09-15 ENERO 2026</t>
  </si>
  <si>
    <t>Permiso sin Goce Salarial</t>
  </si>
  <si>
    <t>ADRIANA MACIEL CRUZ CRUZ</t>
  </si>
  <si>
    <t>CARLOS CABRERA VEGA</t>
  </si>
  <si>
    <t>CHEIRY NICOLE PEREZ PEREZ</t>
  </si>
  <si>
    <t>DARIN TUGWELL RODRIGUEZ</t>
  </si>
  <si>
    <t>GABRIELA HERRERA MONTIEL</t>
  </si>
  <si>
    <t>GRISELL DAYANNA LOPEZ ALVAREZ</t>
  </si>
  <si>
    <t>JUAN RAMON CASTILLO ALVARADO</t>
  </si>
  <si>
    <t>MEYLING URBINA MARTINEZ</t>
  </si>
  <si>
    <t>SILVIA PILAR RODRIGUEZ MATARRITA</t>
  </si>
  <si>
    <t>YORDANY DIAZ MATARRITA</t>
  </si>
  <si>
    <t>YEFERSON JESUA RIVERA GUEVARA</t>
  </si>
  <si>
    <t>MOISES DORMUZ CASTILLO</t>
  </si>
  <si>
    <t>MEYLING DE LOS ANGELES PINEDA PALACIOS</t>
  </si>
  <si>
    <t>MARIO ALBERTO CAMPOS CASTILLO</t>
  </si>
  <si>
    <t>LUIS ALEJANDRO ARCE ALFARO</t>
  </si>
  <si>
    <t>LEINER RODRIGUEZ VILLALOBOS</t>
  </si>
  <si>
    <t>JOSUE EMANUEL ORTEGA BARRANTES</t>
  </si>
  <si>
    <t>JOHN FREISER LOPEZ JIMENEZ</t>
  </si>
  <si>
    <t>GEORGE DANIEL LOPEZ GOMEZ</t>
  </si>
  <si>
    <t>AURORA MARIA PRENDAS HERNANDEZ</t>
  </si>
  <si>
    <t>ANTHONY WRIGHT JIMENEZ</t>
  </si>
  <si>
    <t>ANDRES TROCONIS ROMERO</t>
  </si>
  <si>
    <t>ALVARO LUIS PIÑAR JIMENEZ</t>
  </si>
  <si>
    <t>Incapacidad INS</t>
  </si>
  <si>
    <t>NOMINA COYOL SEM 09-15 ENE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</si>
</sst>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showGridLines="0" workbookViewId="0">
      <selection activeCell="J15" sqref="J15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7.28515625" bestFit="1" customWidth="1"/>
    <col min="9" max="9" width="14.28515625" customWidth="1"/>
    <col min="10" max="10" width="9" bestFit="1" customWidth="1"/>
    <col min="11" max="17" width="14.28515625" customWidth="1"/>
  </cols>
  <sheetData>
    <row r="1" spans="1:17" ht="15" customHeight="1" x14ac:dyDescent="0.25">
      <c r="A1" s="7" t="s">
        <v>50</v>
      </c>
      <c r="B1" s="8"/>
      <c r="C1" s="9"/>
      <c r="D1" s="3"/>
      <c r="E1" s="3"/>
      <c r="F1" s="4" t="s">
        <v>40</v>
      </c>
      <c r="G1" s="4"/>
      <c r="H1" s="4" t="s">
        <v>42</v>
      </c>
      <c r="I1" s="4"/>
      <c r="J1" s="4" t="s">
        <v>43</v>
      </c>
      <c r="K1" s="4"/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44</v>
      </c>
    </row>
    <row r="2" spans="1:17" ht="15" customHeight="1" x14ac:dyDescent="0.25">
      <c r="A2" s="5" t="s">
        <v>1</v>
      </c>
      <c r="B2" s="5"/>
      <c r="C2" s="5"/>
      <c r="D2" s="6" t="s">
        <v>38</v>
      </c>
      <c r="E2" s="3" t="s">
        <v>39</v>
      </c>
      <c r="F2" s="6" t="s">
        <v>0</v>
      </c>
      <c r="G2" s="6" t="s">
        <v>37</v>
      </c>
      <c r="H2" s="6" t="s">
        <v>0</v>
      </c>
      <c r="I2" s="6" t="s">
        <v>37</v>
      </c>
      <c r="J2" s="6" t="s">
        <v>0</v>
      </c>
      <c r="K2" s="6" t="s">
        <v>37</v>
      </c>
      <c r="L2" s="6" t="s">
        <v>37</v>
      </c>
      <c r="M2" s="6" t="s">
        <v>37</v>
      </c>
      <c r="N2" s="6" t="s">
        <v>37</v>
      </c>
      <c r="O2" s="6" t="s">
        <v>37</v>
      </c>
      <c r="P2" s="6" t="s">
        <v>37</v>
      </c>
      <c r="Q2" s="6" t="s">
        <v>37</v>
      </c>
    </row>
    <row r="3" spans="1:17" ht="15" customHeight="1" x14ac:dyDescent="0.25">
      <c r="A3" s="1" t="s">
        <v>2</v>
      </c>
      <c r="B3" s="1"/>
      <c r="C3" s="1"/>
      <c r="D3" s="2">
        <v>33202.129999999997</v>
      </c>
      <c r="E3" s="2">
        <v>13402.13</v>
      </c>
      <c r="F3" s="2" t="s">
        <v>41</v>
      </c>
      <c r="G3" s="2" t="s">
        <v>41</v>
      </c>
      <c r="H3" s="2">
        <v>5.5</v>
      </c>
      <c r="I3" s="2">
        <v>18150</v>
      </c>
      <c r="J3" s="2">
        <v>48</v>
      </c>
      <c r="K3" s="2">
        <v>105600</v>
      </c>
      <c r="L3" s="2" t="s">
        <v>41</v>
      </c>
      <c r="M3" s="2">
        <v>123750</v>
      </c>
      <c r="N3" s="2">
        <v>110347.87</v>
      </c>
      <c r="O3" s="2">
        <v>70138.210000000006</v>
      </c>
      <c r="P3" s="2" t="s">
        <v>41</v>
      </c>
      <c r="Q3" s="2">
        <v>180486.08</v>
      </c>
    </row>
    <row r="4" spans="1:17" ht="15" customHeight="1" x14ac:dyDescent="0.25">
      <c r="A4" s="1" t="s">
        <v>3</v>
      </c>
      <c r="B4" s="1"/>
      <c r="C4" s="1"/>
      <c r="D4" s="2">
        <v>28976.400000000001</v>
      </c>
      <c r="E4" s="2">
        <v>11696.4</v>
      </c>
      <c r="F4" s="2" t="s">
        <v>41</v>
      </c>
      <c r="G4" s="2" t="s">
        <v>41</v>
      </c>
      <c r="H4" s="2">
        <v>4</v>
      </c>
      <c r="I4" s="2">
        <v>12000</v>
      </c>
      <c r="J4" s="2">
        <v>48</v>
      </c>
      <c r="K4" s="2">
        <v>96000</v>
      </c>
      <c r="L4" s="2" t="s">
        <v>41</v>
      </c>
      <c r="M4" s="2">
        <v>108000</v>
      </c>
      <c r="N4" s="2">
        <v>96303.6</v>
      </c>
      <c r="O4" s="2">
        <v>66567.03</v>
      </c>
      <c r="P4" s="2" t="s">
        <v>41</v>
      </c>
      <c r="Q4" s="2">
        <v>162870.63</v>
      </c>
    </row>
    <row r="5" spans="1:17" ht="15" customHeight="1" x14ac:dyDescent="0.25">
      <c r="A5" s="1" t="s">
        <v>4</v>
      </c>
      <c r="B5" s="1"/>
      <c r="C5" s="1"/>
      <c r="D5" s="2">
        <v>33483.839999999997</v>
      </c>
      <c r="E5" s="2">
        <v>13515.84</v>
      </c>
      <c r="F5" s="2" t="s">
        <v>41</v>
      </c>
      <c r="G5" s="2" t="s">
        <v>41</v>
      </c>
      <c r="H5" s="2">
        <v>0</v>
      </c>
      <c r="I5" s="2">
        <v>0</v>
      </c>
      <c r="J5" s="2">
        <v>48</v>
      </c>
      <c r="K5" s="2">
        <v>124800</v>
      </c>
      <c r="L5" s="2" t="s">
        <v>41</v>
      </c>
      <c r="M5" s="2">
        <v>124800</v>
      </c>
      <c r="N5" s="2">
        <v>111284.16</v>
      </c>
      <c r="O5" s="2">
        <v>33283.519999999997</v>
      </c>
      <c r="P5" s="2" t="s">
        <v>41</v>
      </c>
      <c r="Q5" s="2">
        <v>144567.67999999999</v>
      </c>
    </row>
    <row r="6" spans="1:17" ht="15" customHeight="1" x14ac:dyDescent="0.25">
      <c r="A6" s="1" t="s">
        <v>5</v>
      </c>
      <c r="B6" s="1"/>
      <c r="C6" s="1"/>
      <c r="D6" s="2">
        <v>21275.119999999999</v>
      </c>
      <c r="E6" s="2">
        <v>8587.76</v>
      </c>
      <c r="F6" s="2" t="s">
        <v>41</v>
      </c>
      <c r="G6" s="2" t="s">
        <v>41</v>
      </c>
      <c r="H6" s="2">
        <v>0</v>
      </c>
      <c r="I6" s="2">
        <v>0</v>
      </c>
      <c r="J6" s="2">
        <v>48</v>
      </c>
      <c r="K6" s="2">
        <v>79296</v>
      </c>
      <c r="L6" s="2" t="s">
        <v>41</v>
      </c>
      <c r="M6" s="2">
        <v>79296</v>
      </c>
      <c r="N6" s="2">
        <v>70708.240000000005</v>
      </c>
      <c r="O6" s="2" t="s">
        <v>41</v>
      </c>
      <c r="P6" s="2">
        <v>500901.9</v>
      </c>
      <c r="Q6" s="2">
        <v>571610.14</v>
      </c>
    </row>
    <row r="7" spans="1:17" ht="15" customHeight="1" x14ac:dyDescent="0.25">
      <c r="A7" s="1" t="s">
        <v>6</v>
      </c>
      <c r="B7" s="1"/>
      <c r="C7" s="1"/>
      <c r="D7" s="2">
        <v>30425.22</v>
      </c>
      <c r="E7" s="2">
        <v>12281.22</v>
      </c>
      <c r="F7" s="2" t="s">
        <v>41</v>
      </c>
      <c r="G7" s="2" t="s">
        <v>41</v>
      </c>
      <c r="H7" s="2">
        <v>4</v>
      </c>
      <c r="I7" s="2">
        <v>12600</v>
      </c>
      <c r="J7" s="2">
        <v>48</v>
      </c>
      <c r="K7" s="2">
        <v>100800</v>
      </c>
      <c r="L7" s="2" t="s">
        <v>41</v>
      </c>
      <c r="M7" s="2">
        <v>113400</v>
      </c>
      <c r="N7" s="2">
        <v>101118.78</v>
      </c>
      <c r="O7" s="2" t="s">
        <v>41</v>
      </c>
      <c r="P7" s="2">
        <v>481728.13</v>
      </c>
      <c r="Q7" s="2">
        <v>582846.91</v>
      </c>
    </row>
    <row r="8" spans="1:17" ht="15" customHeight="1" x14ac:dyDescent="0.25">
      <c r="A8" s="1" t="s">
        <v>7</v>
      </c>
      <c r="B8" s="1"/>
      <c r="C8" s="1"/>
      <c r="D8" s="2">
        <v>44430.48</v>
      </c>
      <c r="E8" s="2">
        <v>17934.48</v>
      </c>
      <c r="F8" s="2" t="s">
        <v>41</v>
      </c>
      <c r="G8" s="2" t="s">
        <v>41</v>
      </c>
      <c r="H8" s="2">
        <v>14</v>
      </c>
      <c r="I8" s="2">
        <v>50400</v>
      </c>
      <c r="J8" s="2">
        <v>48</v>
      </c>
      <c r="K8" s="2">
        <v>115200</v>
      </c>
      <c r="L8" s="2" t="s">
        <v>41</v>
      </c>
      <c r="M8" s="2">
        <v>165600</v>
      </c>
      <c r="N8" s="2">
        <v>147665.51999999999</v>
      </c>
      <c r="O8" s="2">
        <v>66567.03</v>
      </c>
      <c r="P8" s="2" t="s">
        <v>41</v>
      </c>
      <c r="Q8" s="2">
        <v>214232.55</v>
      </c>
    </row>
    <row r="9" spans="1:17" ht="15" customHeight="1" x14ac:dyDescent="0.25">
      <c r="A9" s="1" t="s">
        <v>8</v>
      </c>
      <c r="B9" s="1"/>
      <c r="C9" s="1"/>
      <c r="D9" s="2">
        <v>25756.799999999999</v>
      </c>
      <c r="E9" s="2">
        <v>10396.799999999999</v>
      </c>
      <c r="F9" s="2" t="s">
        <v>41</v>
      </c>
      <c r="G9" s="2" t="s">
        <v>41</v>
      </c>
      <c r="H9" s="2">
        <v>0</v>
      </c>
      <c r="I9" s="2">
        <v>0</v>
      </c>
      <c r="J9" s="2">
        <v>48</v>
      </c>
      <c r="K9" s="2">
        <v>96000</v>
      </c>
      <c r="L9" s="2" t="s">
        <v>41</v>
      </c>
      <c r="M9" s="2">
        <v>96000</v>
      </c>
      <c r="N9" s="2">
        <v>85603.199999999997</v>
      </c>
      <c r="O9" s="2" t="s">
        <v>41</v>
      </c>
      <c r="P9" s="2">
        <v>587857.46</v>
      </c>
      <c r="Q9" s="2">
        <v>673460.66</v>
      </c>
    </row>
    <row r="10" spans="1:17" ht="15" customHeight="1" x14ac:dyDescent="0.25">
      <c r="A10" s="1" t="s">
        <v>9</v>
      </c>
      <c r="B10" s="1"/>
      <c r="C10" s="1"/>
      <c r="D10" s="2">
        <v>18371.95</v>
      </c>
      <c r="E10" s="2">
        <v>7415.89</v>
      </c>
      <c r="F10" s="2" t="s">
        <v>41</v>
      </c>
      <c r="G10" s="2" t="s">
        <v>41</v>
      </c>
      <c r="H10" s="2">
        <v>0</v>
      </c>
      <c r="I10" s="2">
        <v>0</v>
      </c>
      <c r="J10" s="2">
        <v>41.45</v>
      </c>
      <c r="K10" s="2">
        <v>68475.399999999994</v>
      </c>
      <c r="L10" s="2" t="s">
        <v>41</v>
      </c>
      <c r="M10" s="2">
        <v>68475.399999999994</v>
      </c>
      <c r="N10" s="2">
        <v>61059.51</v>
      </c>
      <c r="O10" s="2" t="s">
        <v>41</v>
      </c>
      <c r="P10" s="2">
        <v>486013.86</v>
      </c>
      <c r="Q10" s="2">
        <v>547073.37</v>
      </c>
    </row>
    <row r="11" spans="1:17" ht="15" customHeight="1" x14ac:dyDescent="0.25">
      <c r="A11" s="1" t="s">
        <v>10</v>
      </c>
      <c r="B11" s="1"/>
      <c r="C11" s="1"/>
      <c r="D11" s="2">
        <v>35576.58</v>
      </c>
      <c r="E11" s="2">
        <v>14360.58</v>
      </c>
      <c r="F11" s="2" t="s">
        <v>41</v>
      </c>
      <c r="G11" s="2" t="s">
        <v>41</v>
      </c>
      <c r="H11" s="2">
        <v>2</v>
      </c>
      <c r="I11" s="2">
        <v>7800</v>
      </c>
      <c r="J11" s="2">
        <v>48</v>
      </c>
      <c r="K11" s="2">
        <v>124800</v>
      </c>
      <c r="L11" s="2" t="s">
        <v>41</v>
      </c>
      <c r="M11" s="2">
        <v>132600</v>
      </c>
      <c r="N11" s="2">
        <v>118239.42</v>
      </c>
      <c r="O11" s="2">
        <v>69824.490000000005</v>
      </c>
      <c r="P11" s="2" t="s">
        <v>41</v>
      </c>
      <c r="Q11" s="2">
        <v>188063.91</v>
      </c>
    </row>
    <row r="12" spans="1:17" ht="15" customHeight="1" x14ac:dyDescent="0.25">
      <c r="A12" s="1" t="s">
        <v>11</v>
      </c>
      <c r="B12" s="1"/>
      <c r="C12" s="1"/>
      <c r="D12" s="2">
        <v>34771.68</v>
      </c>
      <c r="E12" s="2">
        <v>14035.68</v>
      </c>
      <c r="F12" s="2" t="s">
        <v>41</v>
      </c>
      <c r="G12" s="2" t="s">
        <v>41</v>
      </c>
      <c r="H12" s="2">
        <v>0</v>
      </c>
      <c r="I12" s="2">
        <v>0</v>
      </c>
      <c r="J12" s="2">
        <v>48</v>
      </c>
      <c r="K12" s="2">
        <v>129600</v>
      </c>
      <c r="L12" s="2" t="s">
        <v>41</v>
      </c>
      <c r="M12" s="2">
        <v>129600</v>
      </c>
      <c r="N12" s="2">
        <v>115564.32</v>
      </c>
      <c r="O12" s="2">
        <v>70138.210000000006</v>
      </c>
      <c r="P12" s="2" t="s">
        <v>41</v>
      </c>
      <c r="Q12" s="2">
        <v>185702.53</v>
      </c>
    </row>
    <row r="13" spans="1:17" ht="15" customHeight="1" x14ac:dyDescent="0.25">
      <c r="A13" s="1" t="s">
        <v>12</v>
      </c>
      <c r="B13" s="1"/>
      <c r="C13" s="1"/>
      <c r="D13" s="2">
        <v>25756.799999999999</v>
      </c>
      <c r="E13" s="2">
        <v>10396.799999999999</v>
      </c>
      <c r="F13" s="2" t="s">
        <v>41</v>
      </c>
      <c r="G13" s="2" t="s">
        <v>41</v>
      </c>
      <c r="H13" s="2">
        <v>0</v>
      </c>
      <c r="I13" s="2">
        <v>0</v>
      </c>
      <c r="J13" s="2">
        <v>48</v>
      </c>
      <c r="K13" s="2">
        <v>96000</v>
      </c>
      <c r="L13" s="2" t="s">
        <v>41</v>
      </c>
      <c r="M13" s="2">
        <v>96000</v>
      </c>
      <c r="N13" s="2">
        <v>85603.199999999997</v>
      </c>
      <c r="O13" s="2">
        <v>69899.05</v>
      </c>
      <c r="P13" s="2" t="s">
        <v>41</v>
      </c>
      <c r="Q13" s="2">
        <v>155502.25</v>
      </c>
    </row>
    <row r="14" spans="1:17" ht="15" customHeight="1" x14ac:dyDescent="0.25">
      <c r="A14" s="1" t="s">
        <v>13</v>
      </c>
      <c r="B14" s="1"/>
      <c r="C14" s="1"/>
      <c r="D14" s="2">
        <v>25756.799999999999</v>
      </c>
      <c r="E14" s="2">
        <v>10396.799999999999</v>
      </c>
      <c r="F14" s="2" t="s">
        <v>41</v>
      </c>
      <c r="G14" s="2" t="s">
        <v>41</v>
      </c>
      <c r="H14" s="2">
        <v>0</v>
      </c>
      <c r="I14" s="2">
        <v>0</v>
      </c>
      <c r="J14" s="2">
        <v>48</v>
      </c>
      <c r="K14" s="2">
        <v>96000</v>
      </c>
      <c r="L14" s="2" t="s">
        <v>41</v>
      </c>
      <c r="M14" s="2">
        <v>96000</v>
      </c>
      <c r="N14" s="2">
        <v>85603.199999999997</v>
      </c>
      <c r="O14" s="2">
        <v>69824.490000000005</v>
      </c>
      <c r="P14" s="2" t="s">
        <v>41</v>
      </c>
      <c r="Q14" s="2">
        <v>155427.69</v>
      </c>
    </row>
    <row r="15" spans="1:17" ht="15" customHeight="1" x14ac:dyDescent="0.25">
      <c r="A15" s="1" t="s">
        <v>14</v>
      </c>
      <c r="B15" s="1"/>
      <c r="C15" s="1"/>
      <c r="D15" s="2">
        <v>43223.13</v>
      </c>
      <c r="E15" s="2">
        <v>17447.13</v>
      </c>
      <c r="F15" s="2" t="s">
        <v>41</v>
      </c>
      <c r="G15" s="2" t="s">
        <v>41</v>
      </c>
      <c r="H15" s="2">
        <v>12.75</v>
      </c>
      <c r="I15" s="2">
        <v>45900</v>
      </c>
      <c r="J15" s="2">
        <v>48</v>
      </c>
      <c r="K15" s="2">
        <v>115200</v>
      </c>
      <c r="L15" s="2" t="s">
        <v>41</v>
      </c>
      <c r="M15" s="2">
        <v>161100</v>
      </c>
      <c r="N15" s="2">
        <v>143652.87</v>
      </c>
      <c r="O15" s="2">
        <v>67445.61</v>
      </c>
      <c r="P15" s="2" t="s">
        <v>41</v>
      </c>
      <c r="Q15" s="2">
        <v>211098.48</v>
      </c>
    </row>
    <row r="16" spans="1:17" ht="15" customHeight="1" x14ac:dyDescent="0.25">
      <c r="A16" s="1" t="s">
        <v>15</v>
      </c>
      <c r="B16" s="1"/>
      <c r="C16" s="1"/>
      <c r="D16" s="2">
        <v>28332.48</v>
      </c>
      <c r="E16" s="2">
        <v>11436.48</v>
      </c>
      <c r="F16" s="2" t="s">
        <v>41</v>
      </c>
      <c r="G16" s="2" t="s">
        <v>41</v>
      </c>
      <c r="H16" s="2">
        <v>0</v>
      </c>
      <c r="I16" s="2">
        <v>0</v>
      </c>
      <c r="J16" s="2">
        <v>48</v>
      </c>
      <c r="K16" s="2">
        <v>105600</v>
      </c>
      <c r="L16" s="2" t="s">
        <v>41</v>
      </c>
      <c r="M16" s="2">
        <v>105600</v>
      </c>
      <c r="N16" s="2">
        <v>94163.520000000004</v>
      </c>
      <c r="O16" s="2">
        <v>66759.95</v>
      </c>
      <c r="P16" s="2" t="s">
        <v>41</v>
      </c>
      <c r="Q16" s="2">
        <v>160923.47</v>
      </c>
    </row>
    <row r="17" spans="1:17" ht="15" customHeight="1" x14ac:dyDescent="0.25">
      <c r="A17" s="1" t="s">
        <v>16</v>
      </c>
      <c r="B17" s="1"/>
      <c r="C17" s="1"/>
      <c r="D17" s="2">
        <v>34516.800000000003</v>
      </c>
      <c r="E17" s="2">
        <v>13932.8</v>
      </c>
      <c r="F17" s="2" t="s">
        <v>41</v>
      </c>
      <c r="G17" s="2" t="s">
        <v>41</v>
      </c>
      <c r="H17" s="2">
        <v>0</v>
      </c>
      <c r="I17" s="2">
        <v>0</v>
      </c>
      <c r="J17" s="2">
        <v>41.5</v>
      </c>
      <c r="K17" s="2">
        <v>128650</v>
      </c>
      <c r="L17" s="2" t="s">
        <v>41</v>
      </c>
      <c r="M17" s="2">
        <v>128650</v>
      </c>
      <c r="N17" s="2">
        <v>114717.2</v>
      </c>
      <c r="O17" s="2" t="s">
        <v>41</v>
      </c>
      <c r="P17" s="2">
        <v>419893.21</v>
      </c>
      <c r="Q17" s="2">
        <v>534610.41</v>
      </c>
    </row>
    <row r="18" spans="1:17" ht="15" customHeight="1" x14ac:dyDescent="0.25">
      <c r="A18" s="1" t="s">
        <v>17</v>
      </c>
      <c r="B18" s="1"/>
      <c r="C18" s="1"/>
      <c r="D18" s="2">
        <v>21275.119999999999</v>
      </c>
      <c r="E18" s="2">
        <v>8587.76</v>
      </c>
      <c r="F18" s="2" t="s">
        <v>41</v>
      </c>
      <c r="G18" s="2" t="s">
        <v>41</v>
      </c>
      <c r="H18" s="2">
        <v>0</v>
      </c>
      <c r="I18" s="2">
        <v>0</v>
      </c>
      <c r="J18" s="2">
        <v>48</v>
      </c>
      <c r="K18" s="2">
        <v>79296</v>
      </c>
      <c r="L18" s="2" t="s">
        <v>41</v>
      </c>
      <c r="M18" s="2">
        <v>79296</v>
      </c>
      <c r="N18" s="2">
        <v>70708.240000000005</v>
      </c>
      <c r="O18" s="2" t="s">
        <v>41</v>
      </c>
      <c r="P18" s="2">
        <v>517788.59</v>
      </c>
      <c r="Q18" s="2">
        <v>588496.82999999996</v>
      </c>
    </row>
    <row r="19" spans="1:17" ht="15" customHeight="1" x14ac:dyDescent="0.25">
      <c r="A19" s="1" t="s">
        <v>18</v>
      </c>
      <c r="B19" s="1"/>
      <c r="C19" s="1"/>
      <c r="D19" s="2">
        <v>38635.199999999997</v>
      </c>
      <c r="E19" s="2">
        <v>15595.2</v>
      </c>
      <c r="F19" s="2" t="s">
        <v>41</v>
      </c>
      <c r="G19" s="2" t="s">
        <v>41</v>
      </c>
      <c r="H19" s="2">
        <v>0</v>
      </c>
      <c r="I19" s="2">
        <v>0</v>
      </c>
      <c r="J19" s="2">
        <v>48</v>
      </c>
      <c r="K19" s="2">
        <v>144000</v>
      </c>
      <c r="L19" s="2">
        <v>10000</v>
      </c>
      <c r="M19" s="2">
        <v>144000</v>
      </c>
      <c r="N19" s="2">
        <v>118404.8</v>
      </c>
      <c r="O19" s="2">
        <v>66567.03</v>
      </c>
      <c r="P19" s="2" t="s">
        <v>41</v>
      </c>
      <c r="Q19" s="2">
        <v>184971.83</v>
      </c>
    </row>
    <row r="20" spans="1:17" ht="15" customHeight="1" x14ac:dyDescent="0.25">
      <c r="A20" s="1" t="s">
        <v>19</v>
      </c>
      <c r="B20" s="1"/>
      <c r="C20" s="1"/>
      <c r="D20" s="2">
        <v>23385.03</v>
      </c>
      <c r="E20" s="2">
        <v>9439.43</v>
      </c>
      <c r="F20" s="2">
        <f>G20/2200</f>
        <v>19</v>
      </c>
      <c r="G20" s="2">
        <v>41800</v>
      </c>
      <c r="H20" s="2">
        <v>0</v>
      </c>
      <c r="I20" s="2">
        <v>0</v>
      </c>
      <c r="J20" s="2">
        <v>25.2</v>
      </c>
      <c r="K20" s="2">
        <v>45360</v>
      </c>
      <c r="L20" s="2" t="s">
        <v>41</v>
      </c>
      <c r="M20" s="2">
        <v>87160</v>
      </c>
      <c r="N20" s="2">
        <v>77720.570000000007</v>
      </c>
      <c r="O20" s="2" t="s">
        <v>41</v>
      </c>
      <c r="P20" s="2">
        <v>480944.54</v>
      </c>
      <c r="Q20" s="2">
        <v>558665.11</v>
      </c>
    </row>
    <row r="21" spans="1:17" ht="15" customHeight="1" x14ac:dyDescent="0.25">
      <c r="A21" s="1" t="s">
        <v>20</v>
      </c>
      <c r="B21" s="1"/>
      <c r="C21" s="1"/>
      <c r="D21" s="2">
        <v>16067.15</v>
      </c>
      <c r="E21" s="2">
        <v>6485.55</v>
      </c>
      <c r="F21" s="2" t="s">
        <v>41</v>
      </c>
      <c r="G21" s="2" t="s">
        <v>41</v>
      </c>
      <c r="H21" s="2">
        <v>0</v>
      </c>
      <c r="I21" s="2">
        <v>0</v>
      </c>
      <c r="J21" s="2">
        <v>36.25</v>
      </c>
      <c r="K21" s="2">
        <v>59885</v>
      </c>
      <c r="L21" s="2" t="s">
        <v>41</v>
      </c>
      <c r="M21" s="2">
        <v>59885</v>
      </c>
      <c r="N21" s="2">
        <v>53399.45</v>
      </c>
      <c r="O21" s="2" t="s">
        <v>41</v>
      </c>
      <c r="P21" s="2">
        <v>439604.73</v>
      </c>
      <c r="Q21" s="2">
        <v>493004.18</v>
      </c>
    </row>
    <row r="22" spans="1:17" ht="15" customHeight="1" x14ac:dyDescent="0.25">
      <c r="A22" s="1" t="s">
        <v>21</v>
      </c>
      <c r="B22" s="1"/>
      <c r="C22" s="1"/>
      <c r="D22" s="2">
        <v>32196</v>
      </c>
      <c r="E22" s="2">
        <v>12996</v>
      </c>
      <c r="F22" s="2" t="s">
        <v>41</v>
      </c>
      <c r="G22" s="2" t="s">
        <v>41</v>
      </c>
      <c r="H22" s="2">
        <v>0</v>
      </c>
      <c r="I22" s="2">
        <v>0</v>
      </c>
      <c r="J22" s="2">
        <v>48</v>
      </c>
      <c r="K22" s="2">
        <v>120000</v>
      </c>
      <c r="L22" s="2" t="s">
        <v>41</v>
      </c>
      <c r="M22" s="2">
        <v>120000</v>
      </c>
      <c r="N22" s="2">
        <v>107004</v>
      </c>
      <c r="O22" s="2">
        <v>33283.519999999997</v>
      </c>
      <c r="P22" s="2" t="s">
        <v>41</v>
      </c>
      <c r="Q22" s="2">
        <v>140287.51999999999</v>
      </c>
    </row>
    <row r="23" spans="1:17" ht="15" customHeight="1" x14ac:dyDescent="0.25">
      <c r="A23" s="1" t="s">
        <v>22</v>
      </c>
      <c r="B23" s="1"/>
      <c r="C23" s="1"/>
      <c r="D23" s="2">
        <v>39923.040000000001</v>
      </c>
      <c r="E23" s="2">
        <v>16115.04</v>
      </c>
      <c r="F23" s="2" t="s">
        <v>41</v>
      </c>
      <c r="G23" s="2" t="s">
        <v>41</v>
      </c>
      <c r="H23" s="2">
        <v>0</v>
      </c>
      <c r="I23" s="2">
        <v>0</v>
      </c>
      <c r="J23" s="2">
        <v>48</v>
      </c>
      <c r="K23" s="2">
        <v>148800</v>
      </c>
      <c r="L23" s="2">
        <v>0</v>
      </c>
      <c r="M23" s="2">
        <v>148800</v>
      </c>
      <c r="N23" s="2">
        <v>132684.96</v>
      </c>
      <c r="O23" s="2">
        <v>67445.61</v>
      </c>
      <c r="P23" s="2" t="s">
        <v>41</v>
      </c>
      <c r="Q23" s="2">
        <v>200130.57</v>
      </c>
    </row>
    <row r="24" spans="1:17" ht="15" customHeight="1" x14ac:dyDescent="0.25">
      <c r="A24" s="1" t="s">
        <v>23</v>
      </c>
      <c r="B24" s="1"/>
      <c r="C24" s="1"/>
      <c r="D24" s="2">
        <v>41049.9</v>
      </c>
      <c r="E24" s="2">
        <v>16569.900000000001</v>
      </c>
      <c r="F24" s="2" t="s">
        <v>41</v>
      </c>
      <c r="G24" s="2" t="s">
        <v>41</v>
      </c>
      <c r="H24" s="2">
        <v>2</v>
      </c>
      <c r="I24" s="2">
        <v>9000</v>
      </c>
      <c r="J24" s="2">
        <v>48</v>
      </c>
      <c r="K24" s="2">
        <v>144000</v>
      </c>
      <c r="L24" s="2" t="s">
        <v>41</v>
      </c>
      <c r="M24" s="2">
        <v>153000</v>
      </c>
      <c r="N24" s="2">
        <v>136430.1</v>
      </c>
      <c r="O24" s="2" t="s">
        <v>41</v>
      </c>
      <c r="P24" s="2">
        <v>455247.92</v>
      </c>
      <c r="Q24" s="2">
        <v>591678.02</v>
      </c>
    </row>
    <row r="25" spans="1:17" ht="15" customHeight="1" x14ac:dyDescent="0.25">
      <c r="A25" s="1" t="s">
        <v>24</v>
      </c>
      <c r="B25" s="1"/>
      <c r="C25" s="1"/>
      <c r="D25" s="2">
        <v>10039.200000000001</v>
      </c>
      <c r="E25" s="2">
        <v>4052.35</v>
      </c>
      <c r="F25" s="2" t="s">
        <v>41</v>
      </c>
      <c r="G25" s="2" t="s">
        <v>41</v>
      </c>
      <c r="H25" s="2">
        <v>0</v>
      </c>
      <c r="I25" s="2">
        <v>0</v>
      </c>
      <c r="J25" s="2">
        <v>22.65</v>
      </c>
      <c r="K25" s="2">
        <v>37417.800000000003</v>
      </c>
      <c r="L25" s="2" t="s">
        <v>41</v>
      </c>
      <c r="M25" s="2">
        <v>37417.800000000003</v>
      </c>
      <c r="N25" s="2">
        <v>33365.449999999997</v>
      </c>
      <c r="O25" s="2" t="s">
        <v>41</v>
      </c>
      <c r="P25" s="2">
        <v>228484.06</v>
      </c>
      <c r="Q25" s="2">
        <v>261849.51</v>
      </c>
    </row>
    <row r="26" spans="1:17" ht="15" customHeight="1" x14ac:dyDescent="0.25">
      <c r="A26" s="1" t="s">
        <v>25</v>
      </c>
      <c r="B26" s="1"/>
      <c r="C26" s="1"/>
      <c r="D26" s="2">
        <v>19480.03</v>
      </c>
      <c r="E26" s="2">
        <v>7863.16</v>
      </c>
      <c r="F26" s="2" t="s">
        <v>41</v>
      </c>
      <c r="G26" s="2" t="s">
        <v>41</v>
      </c>
      <c r="H26" s="2">
        <v>0</v>
      </c>
      <c r="I26" s="2">
        <v>0</v>
      </c>
      <c r="J26" s="2">
        <v>43.95</v>
      </c>
      <c r="K26" s="2">
        <v>72605.399999999994</v>
      </c>
      <c r="L26" s="2" t="s">
        <v>41</v>
      </c>
      <c r="M26" s="2">
        <v>72605.399999999994</v>
      </c>
      <c r="N26" s="2">
        <v>64742.239999999998</v>
      </c>
      <c r="O26" s="2" t="s">
        <v>41</v>
      </c>
      <c r="P26" s="2">
        <v>447893.23</v>
      </c>
      <c r="Q26" s="2">
        <v>512635.47</v>
      </c>
    </row>
    <row r="27" spans="1:17" ht="15" customHeight="1" x14ac:dyDescent="0.25">
      <c r="A27" s="1" t="s">
        <v>26</v>
      </c>
      <c r="B27" s="1"/>
      <c r="C27" s="1"/>
      <c r="D27" s="2">
        <v>32839.919999999998</v>
      </c>
      <c r="E27" s="2">
        <v>13255.92</v>
      </c>
      <c r="F27" s="2" t="s">
        <v>41</v>
      </c>
      <c r="G27" s="2" t="s">
        <v>41</v>
      </c>
      <c r="H27" s="2">
        <v>2</v>
      </c>
      <c r="I27" s="2">
        <v>7200</v>
      </c>
      <c r="J27" s="2">
        <v>48</v>
      </c>
      <c r="K27" s="2">
        <v>115200</v>
      </c>
      <c r="L27" s="2">
        <v>0</v>
      </c>
      <c r="M27" s="2">
        <v>122400</v>
      </c>
      <c r="N27" s="2">
        <v>109144.08</v>
      </c>
      <c r="O27" s="2">
        <v>69556.100000000006</v>
      </c>
      <c r="P27" s="2" t="s">
        <v>41</v>
      </c>
      <c r="Q27" s="2">
        <v>178700.18</v>
      </c>
    </row>
    <row r="28" spans="1:17" ht="15" customHeight="1" x14ac:dyDescent="0.25">
      <c r="A28" s="1" t="s">
        <v>27</v>
      </c>
      <c r="B28" s="1"/>
      <c r="C28" s="1"/>
      <c r="D28" s="2">
        <v>36944.910000000003</v>
      </c>
      <c r="E28" s="2">
        <v>14912.91</v>
      </c>
      <c r="F28" s="2" t="s">
        <v>41</v>
      </c>
      <c r="G28" s="2" t="s">
        <v>41</v>
      </c>
      <c r="H28" s="2">
        <v>2</v>
      </c>
      <c r="I28" s="2">
        <v>8100</v>
      </c>
      <c r="J28" s="2">
        <v>48</v>
      </c>
      <c r="K28" s="2">
        <v>129600</v>
      </c>
      <c r="L28" s="2" t="s">
        <v>41</v>
      </c>
      <c r="M28" s="2">
        <v>137700</v>
      </c>
      <c r="N28" s="2">
        <v>122787.09</v>
      </c>
      <c r="O28" s="2">
        <v>67445.61</v>
      </c>
      <c r="P28" s="2" t="s">
        <v>41</v>
      </c>
      <c r="Q28" s="2">
        <v>190232.7</v>
      </c>
    </row>
    <row r="29" spans="1:17" ht="15" customHeight="1" x14ac:dyDescent="0.25">
      <c r="A29" s="1" t="s">
        <v>28</v>
      </c>
      <c r="B29" s="1"/>
      <c r="C29" s="1"/>
      <c r="D29" s="2">
        <v>27044.639999999999</v>
      </c>
      <c r="E29" s="2">
        <v>10916.64</v>
      </c>
      <c r="F29" s="2" t="s">
        <v>41</v>
      </c>
      <c r="G29" s="2" t="s">
        <v>41</v>
      </c>
      <c r="H29" s="2">
        <v>0</v>
      </c>
      <c r="I29" s="2">
        <v>0</v>
      </c>
      <c r="J29" s="2">
        <v>48</v>
      </c>
      <c r="K29" s="2">
        <v>100800</v>
      </c>
      <c r="L29" s="2" t="s">
        <v>41</v>
      </c>
      <c r="M29" s="2">
        <v>100800</v>
      </c>
      <c r="N29" s="2">
        <v>89883.36</v>
      </c>
      <c r="O29" s="2">
        <v>70138.210000000006</v>
      </c>
      <c r="P29" s="2" t="s">
        <v>41</v>
      </c>
      <c r="Q29" s="2">
        <v>160021.57</v>
      </c>
    </row>
    <row r="30" spans="1:17" ht="15" customHeight="1" x14ac:dyDescent="0.25">
      <c r="A30" s="1" t="s">
        <v>29</v>
      </c>
      <c r="B30" s="1"/>
      <c r="C30" s="1"/>
      <c r="D30" s="2">
        <v>16500.45</v>
      </c>
      <c r="E30" s="2">
        <v>6660.45</v>
      </c>
      <c r="F30" s="2" t="s">
        <v>41</v>
      </c>
      <c r="G30" s="2" t="s">
        <v>41</v>
      </c>
      <c r="H30" s="2">
        <v>0</v>
      </c>
      <c r="I30" s="2">
        <v>0</v>
      </c>
      <c r="J30" s="2">
        <v>24.6</v>
      </c>
      <c r="K30" s="2">
        <v>61500</v>
      </c>
      <c r="L30" s="2" t="s">
        <v>41</v>
      </c>
      <c r="M30" s="2">
        <v>61500</v>
      </c>
      <c r="N30" s="2">
        <v>54839.55</v>
      </c>
      <c r="O30" s="2">
        <v>21729.51</v>
      </c>
      <c r="P30" s="2" t="s">
        <v>41</v>
      </c>
      <c r="Q30" s="2">
        <v>76569.06</v>
      </c>
    </row>
    <row r="31" spans="1:17" ht="15" customHeight="1" x14ac:dyDescent="0.25">
      <c r="A31" s="1" t="s">
        <v>30</v>
      </c>
      <c r="B31" s="1"/>
      <c r="C31" s="1"/>
      <c r="D31" s="2">
        <v>19480.03</v>
      </c>
      <c r="E31" s="2">
        <v>7863.16</v>
      </c>
      <c r="F31" s="2" t="s">
        <v>41</v>
      </c>
      <c r="G31" s="2" t="s">
        <v>41</v>
      </c>
      <c r="H31" s="2">
        <v>0</v>
      </c>
      <c r="I31" s="2">
        <v>0</v>
      </c>
      <c r="J31" s="2">
        <v>43.95</v>
      </c>
      <c r="K31" s="2">
        <v>72605.399999999994</v>
      </c>
      <c r="L31" s="2" t="s">
        <v>41</v>
      </c>
      <c r="M31" s="2">
        <v>72605.399999999994</v>
      </c>
      <c r="N31" s="2">
        <v>64742.239999999998</v>
      </c>
      <c r="O31" s="2" t="s">
        <v>41</v>
      </c>
      <c r="P31" s="2">
        <v>483969.86</v>
      </c>
      <c r="Q31" s="2">
        <v>548712.1</v>
      </c>
    </row>
    <row r="32" spans="1:17" ht="15" customHeight="1" x14ac:dyDescent="0.25">
      <c r="A32" s="1" t="s">
        <v>31</v>
      </c>
      <c r="B32" s="1"/>
      <c r="C32" s="1"/>
      <c r="D32" s="2">
        <v>24951.9</v>
      </c>
      <c r="E32" s="2">
        <v>10071.9</v>
      </c>
      <c r="F32" s="2" t="s">
        <v>41</v>
      </c>
      <c r="G32" s="2" t="s">
        <v>41</v>
      </c>
      <c r="H32" s="2">
        <v>0</v>
      </c>
      <c r="I32" s="2">
        <v>0</v>
      </c>
      <c r="J32" s="2">
        <v>46.5</v>
      </c>
      <c r="K32" s="2">
        <v>93000</v>
      </c>
      <c r="L32" s="2" t="s">
        <v>41</v>
      </c>
      <c r="M32" s="2">
        <v>93000</v>
      </c>
      <c r="N32" s="2">
        <v>82928.100000000006</v>
      </c>
      <c r="O32" s="2" t="s">
        <v>41</v>
      </c>
      <c r="P32" s="2">
        <v>435648.91</v>
      </c>
      <c r="Q32" s="2">
        <v>518577.01</v>
      </c>
    </row>
    <row r="33" spans="1:17" ht="15" customHeight="1" x14ac:dyDescent="0.25">
      <c r="A33" s="1" t="s">
        <v>32</v>
      </c>
      <c r="B33" s="1"/>
      <c r="C33" s="1"/>
      <c r="D33" s="2">
        <v>32196</v>
      </c>
      <c r="E33" s="2">
        <v>12996</v>
      </c>
      <c r="F33" s="2" t="s">
        <v>41</v>
      </c>
      <c r="G33" s="2" t="s">
        <v>41</v>
      </c>
      <c r="H33" s="2">
        <v>0</v>
      </c>
      <c r="I33" s="2">
        <v>0</v>
      </c>
      <c r="J33" s="2">
        <v>48</v>
      </c>
      <c r="K33" s="2">
        <v>120000</v>
      </c>
      <c r="L33" s="2" t="s">
        <v>41</v>
      </c>
      <c r="M33" s="2">
        <v>120000</v>
      </c>
      <c r="N33" s="2">
        <v>107004</v>
      </c>
      <c r="O33" s="2">
        <v>66567.03</v>
      </c>
      <c r="P33" s="2" t="s">
        <v>41</v>
      </c>
      <c r="Q33" s="2">
        <v>173571.03</v>
      </c>
    </row>
    <row r="34" spans="1:17" ht="15" customHeight="1" x14ac:dyDescent="0.25">
      <c r="A34" s="1" t="s">
        <v>33</v>
      </c>
      <c r="B34" s="1"/>
      <c r="C34" s="1"/>
      <c r="D34" s="2">
        <v>0</v>
      </c>
      <c r="E34" s="2">
        <v>0</v>
      </c>
      <c r="F34" s="2" t="s">
        <v>41</v>
      </c>
      <c r="G34" s="2" t="s">
        <v>41</v>
      </c>
      <c r="H34" s="2">
        <v>0</v>
      </c>
      <c r="I34" s="2">
        <v>0</v>
      </c>
      <c r="J34" s="2">
        <v>0</v>
      </c>
      <c r="K34" s="2">
        <v>0</v>
      </c>
      <c r="L34" s="2" t="s">
        <v>41</v>
      </c>
      <c r="M34" s="2">
        <v>0</v>
      </c>
      <c r="N34" s="2">
        <v>0</v>
      </c>
      <c r="O34" s="2">
        <v>57312.92</v>
      </c>
      <c r="P34" s="2" t="s">
        <v>41</v>
      </c>
      <c r="Q34" s="2">
        <v>57312.92</v>
      </c>
    </row>
    <row r="35" spans="1:17" ht="15" customHeight="1" x14ac:dyDescent="0.25">
      <c r="A35" s="1" t="s">
        <v>34</v>
      </c>
      <c r="B35" s="1"/>
      <c r="C35" s="1"/>
      <c r="D35" s="2">
        <v>20698.919999999998</v>
      </c>
      <c r="E35" s="2">
        <v>8355.17</v>
      </c>
      <c r="F35" s="2" t="s">
        <v>41</v>
      </c>
      <c r="G35" s="2" t="s">
        <v>41</v>
      </c>
      <c r="H35" s="2">
        <v>0</v>
      </c>
      <c r="I35" s="2">
        <v>0</v>
      </c>
      <c r="J35" s="2">
        <v>46.7</v>
      </c>
      <c r="K35" s="2">
        <v>77148.399999999994</v>
      </c>
      <c r="L35" s="2" t="s">
        <v>41</v>
      </c>
      <c r="M35" s="2">
        <v>77148.399999999994</v>
      </c>
      <c r="N35" s="2">
        <v>68793.23</v>
      </c>
      <c r="O35" s="2" t="s">
        <v>41</v>
      </c>
      <c r="P35" s="2">
        <v>499237.72</v>
      </c>
      <c r="Q35" s="2">
        <v>568030.94999999995</v>
      </c>
    </row>
    <row r="36" spans="1:17" ht="15" customHeight="1" x14ac:dyDescent="0.25">
      <c r="A36" s="1" t="s">
        <v>35</v>
      </c>
      <c r="B36" s="1"/>
      <c r="C36" s="1"/>
      <c r="D36" s="2">
        <v>21705.47</v>
      </c>
      <c r="E36" s="2">
        <v>8761.4699999999993</v>
      </c>
      <c r="F36" s="2" t="s">
        <v>41</v>
      </c>
      <c r="G36" s="2" t="s">
        <v>41</v>
      </c>
      <c r="H36" s="2">
        <v>0</v>
      </c>
      <c r="I36" s="2">
        <v>0</v>
      </c>
      <c r="J36" s="2">
        <v>40.450000000000003</v>
      </c>
      <c r="K36" s="2">
        <v>80900</v>
      </c>
      <c r="L36" s="2" t="s">
        <v>41</v>
      </c>
      <c r="M36" s="2">
        <v>80900</v>
      </c>
      <c r="N36" s="2">
        <v>72138.53</v>
      </c>
      <c r="O36" s="2">
        <v>57312.92</v>
      </c>
      <c r="P36" s="2" t="s">
        <v>41</v>
      </c>
      <c r="Q36" s="2">
        <v>129451.45</v>
      </c>
    </row>
    <row r="37" spans="1:17" ht="15" customHeight="1" x14ac:dyDescent="0.25">
      <c r="A37" s="1" t="s">
        <v>36</v>
      </c>
      <c r="B37" s="1"/>
      <c r="C37" s="1"/>
      <c r="D37" s="2">
        <v>938269.12</v>
      </c>
      <c r="E37" s="2">
        <v>378734.8</v>
      </c>
      <c r="F37" s="2">
        <v>19</v>
      </c>
      <c r="G37" s="2">
        <v>41800</v>
      </c>
      <c r="H37" s="2">
        <v>48.25</v>
      </c>
      <c r="I37" s="2">
        <v>171150</v>
      </c>
      <c r="J37" s="2">
        <v>1469.2</v>
      </c>
      <c r="K37" s="2">
        <v>3284139.4</v>
      </c>
      <c r="L37" s="2">
        <v>10000</v>
      </c>
      <c r="M37" s="2">
        <v>3497089.4</v>
      </c>
      <c r="N37" s="2">
        <v>3108354.6</v>
      </c>
      <c r="O37" s="2">
        <v>1227806.05</v>
      </c>
      <c r="P37" s="2">
        <v>6465214.1200000001</v>
      </c>
      <c r="Q37" s="2">
        <v>10801374.77</v>
      </c>
    </row>
  </sheetData>
  <mergeCells count="40">
    <mergeCell ref="A1:C1"/>
    <mergeCell ref="F1:G1"/>
    <mergeCell ref="H1:I1"/>
    <mergeCell ref="J1:K1"/>
    <mergeCell ref="A37:C37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728F-DEB6-4C10-8DF5-22BE34EF0462}">
  <dimension ref="A1:Q17"/>
  <sheetViews>
    <sheetView tabSelected="1" workbookViewId="0">
      <selection activeCell="D6" sqref="D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7" width="14.28515625" customWidth="1"/>
  </cols>
  <sheetData>
    <row r="1" spans="1:17" ht="45" x14ac:dyDescent="0.25">
      <c r="A1" s="7" t="s">
        <v>89</v>
      </c>
      <c r="B1" s="8"/>
      <c r="C1" s="9"/>
      <c r="D1" s="3"/>
      <c r="E1" s="3"/>
      <c r="F1" s="4" t="s">
        <v>42</v>
      </c>
      <c r="G1" s="4"/>
      <c r="H1" s="4" t="s">
        <v>43</v>
      </c>
      <c r="I1" s="4"/>
      <c r="J1" s="4" t="s">
        <v>88</v>
      </c>
      <c r="K1" s="4"/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44</v>
      </c>
    </row>
    <row r="2" spans="1:17" ht="30" x14ac:dyDescent="0.25">
      <c r="A2" s="5" t="s">
        <v>1</v>
      </c>
      <c r="B2" s="5"/>
      <c r="C2" s="5"/>
      <c r="D2" s="6" t="s">
        <v>38</v>
      </c>
      <c r="E2" s="3" t="s">
        <v>39</v>
      </c>
      <c r="F2" s="6" t="s">
        <v>0</v>
      </c>
      <c r="G2" s="6" t="s">
        <v>37</v>
      </c>
      <c r="H2" s="6" t="s">
        <v>0</v>
      </c>
      <c r="I2" s="6" t="s">
        <v>37</v>
      </c>
      <c r="J2" s="6" t="s">
        <v>0</v>
      </c>
      <c r="K2" s="6" t="s">
        <v>37</v>
      </c>
      <c r="L2" s="6" t="s">
        <v>37</v>
      </c>
      <c r="M2" s="6" t="s">
        <v>37</v>
      </c>
      <c r="N2" s="6" t="s">
        <v>37</v>
      </c>
      <c r="O2" s="6" t="s">
        <v>37</v>
      </c>
      <c r="P2" s="6" t="s">
        <v>37</v>
      </c>
      <c r="Q2" s="6" t="s">
        <v>37</v>
      </c>
    </row>
    <row r="3" spans="1:17" ht="15" customHeight="1" x14ac:dyDescent="0.25">
      <c r="A3" s="1" t="s">
        <v>87</v>
      </c>
      <c r="B3" s="1"/>
      <c r="C3" s="1"/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 t="s">
        <v>41</v>
      </c>
      <c r="K3" s="2" t="s">
        <v>41</v>
      </c>
      <c r="L3" s="2" t="s">
        <v>41</v>
      </c>
      <c r="M3" s="2">
        <v>0</v>
      </c>
      <c r="N3" s="2">
        <v>0</v>
      </c>
      <c r="O3" s="2">
        <v>77740.14</v>
      </c>
      <c r="P3" s="2" t="s">
        <v>41</v>
      </c>
      <c r="Q3" s="2">
        <v>77740.14</v>
      </c>
    </row>
    <row r="4" spans="1:17" ht="15" customHeight="1" x14ac:dyDescent="0.25">
      <c r="A4" s="1" t="s">
        <v>86</v>
      </c>
      <c r="B4" s="1"/>
      <c r="C4" s="1"/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56</v>
      </c>
      <c r="K4" s="2">
        <v>0</v>
      </c>
      <c r="L4" s="2" t="s">
        <v>41</v>
      </c>
      <c r="M4" s="2">
        <v>0</v>
      </c>
      <c r="N4" s="2">
        <v>0</v>
      </c>
      <c r="O4" s="2" t="s">
        <v>41</v>
      </c>
      <c r="P4" s="2">
        <v>0</v>
      </c>
      <c r="Q4" s="2">
        <v>0</v>
      </c>
    </row>
    <row r="5" spans="1:17" ht="15" customHeight="1" x14ac:dyDescent="0.25">
      <c r="A5" s="1" t="s">
        <v>85</v>
      </c>
      <c r="B5" s="1"/>
      <c r="C5" s="1"/>
      <c r="D5" s="2">
        <v>26561.7</v>
      </c>
      <c r="E5" s="2">
        <v>10721.7</v>
      </c>
      <c r="F5" s="2">
        <v>1</v>
      </c>
      <c r="G5" s="2">
        <v>3000</v>
      </c>
      <c r="H5" s="2">
        <v>48</v>
      </c>
      <c r="I5" s="2">
        <v>96000</v>
      </c>
      <c r="J5" s="2" t="s">
        <v>41</v>
      </c>
      <c r="K5" s="2" t="s">
        <v>41</v>
      </c>
      <c r="L5" s="2" t="s">
        <v>41</v>
      </c>
      <c r="M5" s="2">
        <v>99000</v>
      </c>
      <c r="N5" s="2">
        <v>88278.3</v>
      </c>
      <c r="O5" s="2" t="s">
        <v>41</v>
      </c>
      <c r="P5" s="2">
        <v>485416.32</v>
      </c>
      <c r="Q5" s="2">
        <v>573694.62</v>
      </c>
    </row>
    <row r="6" spans="1:17" ht="15" customHeight="1" x14ac:dyDescent="0.25">
      <c r="A6" s="1" t="s">
        <v>84</v>
      </c>
      <c r="B6" s="1"/>
      <c r="C6" s="1"/>
      <c r="D6" s="2">
        <v>55779.97</v>
      </c>
      <c r="E6" s="2">
        <v>22515.73</v>
      </c>
      <c r="F6" s="2">
        <v>12.71</v>
      </c>
      <c r="G6" s="2">
        <v>59101.5</v>
      </c>
      <c r="H6" s="2">
        <v>48</v>
      </c>
      <c r="I6" s="2">
        <v>148800</v>
      </c>
      <c r="J6" s="2" t="s">
        <v>41</v>
      </c>
      <c r="K6" s="2" t="s">
        <v>41</v>
      </c>
      <c r="L6" s="2">
        <v>30000</v>
      </c>
      <c r="M6" s="2">
        <v>207901.5</v>
      </c>
      <c r="N6" s="2">
        <v>155385.76999999999</v>
      </c>
      <c r="O6" s="2">
        <v>70285.14</v>
      </c>
      <c r="P6" s="2" t="s">
        <v>41</v>
      </c>
      <c r="Q6" s="2">
        <v>225670.91</v>
      </c>
    </row>
    <row r="7" spans="1:17" ht="15" customHeight="1" x14ac:dyDescent="0.25">
      <c r="A7" s="1" t="s">
        <v>83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41</v>
      </c>
      <c r="K7" s="2" t="s">
        <v>41</v>
      </c>
      <c r="L7" s="2" t="s">
        <v>41</v>
      </c>
      <c r="M7" s="2">
        <v>0</v>
      </c>
      <c r="N7" s="2">
        <v>0</v>
      </c>
      <c r="O7" s="2" t="s">
        <v>41</v>
      </c>
      <c r="P7" s="2">
        <v>552912.28</v>
      </c>
      <c r="Q7" s="2">
        <v>552912.28</v>
      </c>
    </row>
    <row r="8" spans="1:17" ht="15" customHeight="1" x14ac:dyDescent="0.25">
      <c r="A8" s="1" t="s">
        <v>82</v>
      </c>
      <c r="B8" s="1"/>
      <c r="C8" s="1"/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41</v>
      </c>
      <c r="K8" s="2" t="s">
        <v>41</v>
      </c>
      <c r="L8" s="2" t="s">
        <v>41</v>
      </c>
      <c r="M8" s="2">
        <v>0</v>
      </c>
      <c r="N8" s="2">
        <v>0</v>
      </c>
      <c r="O8" s="2" t="s">
        <v>41</v>
      </c>
      <c r="P8" s="2">
        <v>533736.74</v>
      </c>
      <c r="Q8" s="2">
        <v>533736.74</v>
      </c>
    </row>
    <row r="9" spans="1:17" ht="15" customHeight="1" x14ac:dyDescent="0.25">
      <c r="A9" s="1" t="s">
        <v>81</v>
      </c>
      <c r="B9" s="1"/>
      <c r="C9" s="1"/>
      <c r="D9" s="2">
        <v>44139.11</v>
      </c>
      <c r="E9" s="2">
        <v>17816.87</v>
      </c>
      <c r="F9" s="2">
        <v>7.17</v>
      </c>
      <c r="G9" s="2">
        <v>30114</v>
      </c>
      <c r="H9" s="2">
        <v>48</v>
      </c>
      <c r="I9" s="2">
        <v>134400</v>
      </c>
      <c r="J9" s="2" t="s">
        <v>41</v>
      </c>
      <c r="K9" s="2" t="s">
        <v>41</v>
      </c>
      <c r="L9" s="2" t="s">
        <v>41</v>
      </c>
      <c r="M9" s="2">
        <v>164514</v>
      </c>
      <c r="N9" s="2">
        <v>146697.13</v>
      </c>
      <c r="O9" s="2">
        <v>63463.51</v>
      </c>
      <c r="P9" s="2" t="s">
        <v>41</v>
      </c>
      <c r="Q9" s="2">
        <v>210160.64000000001</v>
      </c>
    </row>
    <row r="10" spans="1:17" ht="15" customHeight="1" x14ac:dyDescent="0.25">
      <c r="A10" s="1" t="s">
        <v>80</v>
      </c>
      <c r="B10" s="1"/>
      <c r="C10" s="1"/>
      <c r="D10" s="2">
        <v>40959.35</v>
      </c>
      <c r="E10" s="2">
        <v>16533.349999999999</v>
      </c>
      <c r="F10" s="2">
        <v>8.7100000000000009</v>
      </c>
      <c r="G10" s="2">
        <v>32662.5</v>
      </c>
      <c r="H10" s="2">
        <v>48</v>
      </c>
      <c r="I10" s="2">
        <v>120000</v>
      </c>
      <c r="J10" s="2" t="s">
        <v>41</v>
      </c>
      <c r="K10" s="2" t="s">
        <v>41</v>
      </c>
      <c r="L10" s="2" t="s">
        <v>41</v>
      </c>
      <c r="M10" s="2">
        <v>152662.5</v>
      </c>
      <c r="N10" s="2">
        <v>136129.15</v>
      </c>
      <c r="O10" s="2">
        <v>65712.5</v>
      </c>
      <c r="P10" s="2" t="s">
        <v>41</v>
      </c>
      <c r="Q10" s="2">
        <v>201841.65</v>
      </c>
    </row>
    <row r="11" spans="1:17" ht="15" customHeight="1" x14ac:dyDescent="0.25">
      <c r="A11" s="1" t="s">
        <v>79</v>
      </c>
      <c r="B11" s="1"/>
      <c r="C11" s="1"/>
      <c r="D11" s="2">
        <v>45536.41</v>
      </c>
      <c r="E11" s="2">
        <v>18380.89</v>
      </c>
      <c r="F11" s="2">
        <v>8.41</v>
      </c>
      <c r="G11" s="2">
        <v>35322</v>
      </c>
      <c r="H11" s="2">
        <v>48</v>
      </c>
      <c r="I11" s="2">
        <v>134400</v>
      </c>
      <c r="J11" s="2" t="s">
        <v>41</v>
      </c>
      <c r="K11" s="2" t="s">
        <v>41</v>
      </c>
      <c r="L11" s="2" t="s">
        <v>41</v>
      </c>
      <c r="M11" s="2">
        <v>169722</v>
      </c>
      <c r="N11" s="2">
        <v>151341.10999999999</v>
      </c>
      <c r="O11" s="2">
        <v>66967.710000000006</v>
      </c>
      <c r="P11" s="2" t="s">
        <v>41</v>
      </c>
      <c r="Q11" s="2">
        <v>218308.82</v>
      </c>
    </row>
    <row r="12" spans="1:17" ht="15" customHeight="1" x14ac:dyDescent="0.25">
      <c r="A12" s="1" t="s">
        <v>78</v>
      </c>
      <c r="B12" s="1"/>
      <c r="C12" s="1"/>
      <c r="D12" s="2">
        <v>41925.230000000003</v>
      </c>
      <c r="E12" s="2">
        <v>16923.23</v>
      </c>
      <c r="F12" s="2">
        <v>9.67</v>
      </c>
      <c r="G12" s="2">
        <v>36262.5</v>
      </c>
      <c r="H12" s="2">
        <v>48</v>
      </c>
      <c r="I12" s="2">
        <v>120000</v>
      </c>
      <c r="J12" s="2" t="s">
        <v>41</v>
      </c>
      <c r="K12" s="2" t="s">
        <v>41</v>
      </c>
      <c r="L12" s="2" t="s">
        <v>41</v>
      </c>
      <c r="M12" s="2">
        <v>156262.5</v>
      </c>
      <c r="N12" s="2">
        <v>139339.26999999999</v>
      </c>
      <c r="O12" s="2">
        <v>70575.58</v>
      </c>
      <c r="P12" s="2" t="s">
        <v>41</v>
      </c>
      <c r="Q12" s="2">
        <v>209914.85</v>
      </c>
    </row>
    <row r="13" spans="1:17" ht="15" customHeight="1" x14ac:dyDescent="0.25">
      <c r="A13" s="1" t="s">
        <v>77</v>
      </c>
      <c r="B13" s="1"/>
      <c r="C13" s="1"/>
      <c r="D13" s="2">
        <v>27076.84</v>
      </c>
      <c r="E13" s="2">
        <v>10929.64</v>
      </c>
      <c r="F13" s="2">
        <v>1.64</v>
      </c>
      <c r="G13" s="2">
        <v>4920</v>
      </c>
      <c r="H13" s="2">
        <v>48</v>
      </c>
      <c r="I13" s="2">
        <v>96000</v>
      </c>
      <c r="J13" s="2" t="s">
        <v>41</v>
      </c>
      <c r="K13" s="2" t="s">
        <v>41</v>
      </c>
      <c r="L13" s="2" t="s">
        <v>41</v>
      </c>
      <c r="M13" s="2">
        <v>100920</v>
      </c>
      <c r="N13" s="2">
        <v>89990.36</v>
      </c>
      <c r="O13" s="2">
        <v>65970.77</v>
      </c>
      <c r="P13" s="2" t="s">
        <v>41</v>
      </c>
      <c r="Q13" s="2">
        <v>155961.13</v>
      </c>
    </row>
    <row r="14" spans="1:17" ht="15" customHeight="1" x14ac:dyDescent="0.25">
      <c r="A14" s="1" t="s">
        <v>76</v>
      </c>
      <c r="B14" s="1"/>
      <c r="C14" s="1"/>
      <c r="D14" s="2">
        <v>27583.74</v>
      </c>
      <c r="E14" s="2">
        <v>11134.25</v>
      </c>
      <c r="F14" s="2">
        <v>8.27</v>
      </c>
      <c r="G14" s="2">
        <v>21113.31</v>
      </c>
      <c r="H14" s="2">
        <v>48</v>
      </c>
      <c r="I14" s="2">
        <v>81696</v>
      </c>
      <c r="J14" s="2" t="s">
        <v>41</v>
      </c>
      <c r="K14" s="2" t="s">
        <v>41</v>
      </c>
      <c r="L14" s="2" t="s">
        <v>41</v>
      </c>
      <c r="M14" s="2">
        <v>102809.31</v>
      </c>
      <c r="N14" s="2">
        <v>91675.06</v>
      </c>
      <c r="O14" s="2" t="s">
        <v>41</v>
      </c>
      <c r="P14" s="2">
        <v>554850.6</v>
      </c>
      <c r="Q14" s="2">
        <v>646525.66</v>
      </c>
    </row>
    <row r="15" spans="1:17" ht="15" customHeight="1" x14ac:dyDescent="0.25">
      <c r="A15" s="1" t="s">
        <v>75</v>
      </c>
      <c r="B15" s="1"/>
      <c r="C15" s="1"/>
      <c r="D15" s="2">
        <v>22987.59</v>
      </c>
      <c r="E15" s="2">
        <v>9279</v>
      </c>
      <c r="F15" s="2">
        <v>1.56</v>
      </c>
      <c r="G15" s="2">
        <v>3982.68</v>
      </c>
      <c r="H15" s="2">
        <v>48</v>
      </c>
      <c r="I15" s="2">
        <v>81696</v>
      </c>
      <c r="J15" s="2" t="s">
        <v>41</v>
      </c>
      <c r="K15" s="2" t="s">
        <v>41</v>
      </c>
      <c r="L15" s="2" t="s">
        <v>41</v>
      </c>
      <c r="M15" s="2">
        <v>85678.68</v>
      </c>
      <c r="N15" s="2">
        <v>76399.679999999993</v>
      </c>
      <c r="O15" s="2" t="s">
        <v>41</v>
      </c>
      <c r="P15" s="2">
        <v>513340.9</v>
      </c>
      <c r="Q15" s="2">
        <v>589740.57999999996</v>
      </c>
    </row>
    <row r="16" spans="1:17" ht="15" customHeight="1" x14ac:dyDescent="0.25">
      <c r="A16" s="1" t="s">
        <v>74</v>
      </c>
      <c r="B16" s="1"/>
      <c r="C16" s="1"/>
      <c r="D16" s="2">
        <v>25756.799999999999</v>
      </c>
      <c r="E16" s="2">
        <v>10396.799999999999</v>
      </c>
      <c r="F16" s="2">
        <v>0</v>
      </c>
      <c r="G16" s="2">
        <v>0</v>
      </c>
      <c r="H16" s="2">
        <v>48</v>
      </c>
      <c r="I16" s="2">
        <v>96000</v>
      </c>
      <c r="J16" s="2" t="s">
        <v>41</v>
      </c>
      <c r="K16" s="2" t="s">
        <v>41</v>
      </c>
      <c r="L16" s="2" t="s">
        <v>41</v>
      </c>
      <c r="M16" s="2">
        <v>96000</v>
      </c>
      <c r="N16" s="2">
        <v>85603.199999999997</v>
      </c>
      <c r="O16" s="2" t="s">
        <v>41</v>
      </c>
      <c r="P16" s="2">
        <v>483755.73</v>
      </c>
      <c r="Q16" s="2">
        <v>569358.93000000005</v>
      </c>
    </row>
    <row r="17" spans="1:17" ht="15" customHeight="1" x14ac:dyDescent="0.25">
      <c r="A17" s="1" t="s">
        <v>36</v>
      </c>
      <c r="B17" s="1"/>
      <c r="C17" s="1"/>
      <c r="D17" s="2">
        <v>358306.74</v>
      </c>
      <c r="E17" s="2">
        <v>144631.46</v>
      </c>
      <c r="F17" s="2">
        <v>59.14</v>
      </c>
      <c r="G17" s="2">
        <v>226478.49</v>
      </c>
      <c r="H17" s="2">
        <v>480</v>
      </c>
      <c r="I17" s="2">
        <v>1108992</v>
      </c>
      <c r="J17" s="2">
        <v>56</v>
      </c>
      <c r="K17" s="2">
        <v>0</v>
      </c>
      <c r="L17" s="2">
        <v>30000</v>
      </c>
      <c r="M17" s="2">
        <v>1335470.49</v>
      </c>
      <c r="N17" s="2">
        <v>1160839.03</v>
      </c>
      <c r="O17" s="2">
        <v>480715.35</v>
      </c>
      <c r="P17" s="2">
        <v>3124012.57</v>
      </c>
      <c r="Q17" s="2">
        <v>4765566.95</v>
      </c>
    </row>
  </sheetData>
  <mergeCells count="20"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  <mergeCell ref="A1:C1"/>
    <mergeCell ref="F1:G1"/>
    <mergeCell ref="H1:I1"/>
    <mergeCell ref="J1:K1"/>
    <mergeCell ref="A17:C17"/>
    <mergeCell ref="A12:C12"/>
    <mergeCell ref="A13:C13"/>
    <mergeCell ref="A14:C14"/>
    <mergeCell ref="A15:C15"/>
    <mergeCell ref="A16:C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DDD1-704C-4289-9D15-54AEE3A27562}">
  <dimension ref="A1:P12"/>
  <sheetViews>
    <sheetView workbookViewId="0">
      <selection activeCell="D8" sqref="D8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16" width="14.28515625" customWidth="1"/>
  </cols>
  <sheetData>
    <row r="1" spans="1:16" ht="45" x14ac:dyDescent="0.25">
      <c r="A1" s="7" t="s">
        <v>63</v>
      </c>
      <c r="B1" s="8"/>
      <c r="C1" s="9"/>
      <c r="D1" s="3"/>
      <c r="E1" s="3"/>
      <c r="F1" s="4" t="s">
        <v>42</v>
      </c>
      <c r="G1" s="4"/>
      <c r="H1" s="4" t="s">
        <v>43</v>
      </c>
      <c r="I1" s="4"/>
      <c r="J1" s="4" t="s">
        <v>64</v>
      </c>
      <c r="K1" s="4"/>
      <c r="L1" s="3" t="s">
        <v>46</v>
      </c>
      <c r="M1" s="3" t="s">
        <v>47</v>
      </c>
      <c r="N1" s="3" t="s">
        <v>48</v>
      </c>
      <c r="O1" s="3" t="s">
        <v>49</v>
      </c>
      <c r="P1" s="3" t="s">
        <v>44</v>
      </c>
    </row>
    <row r="2" spans="1:16" ht="30" x14ac:dyDescent="0.25">
      <c r="A2" s="5" t="s">
        <v>1</v>
      </c>
      <c r="B2" s="5"/>
      <c r="C2" s="5"/>
      <c r="D2" s="6" t="s">
        <v>38</v>
      </c>
      <c r="E2" s="3" t="s">
        <v>39</v>
      </c>
      <c r="F2" s="6" t="s">
        <v>0</v>
      </c>
      <c r="G2" s="6" t="s">
        <v>37</v>
      </c>
      <c r="H2" s="6" t="s">
        <v>0</v>
      </c>
      <c r="I2" s="6" t="s">
        <v>37</v>
      </c>
      <c r="J2" s="6" t="s">
        <v>0</v>
      </c>
      <c r="K2" s="6" t="s">
        <v>37</v>
      </c>
      <c r="L2" s="6" t="s">
        <v>37</v>
      </c>
      <c r="M2" s="6" t="s">
        <v>37</v>
      </c>
      <c r="N2" s="6" t="s">
        <v>37</v>
      </c>
      <c r="O2" s="6" t="s">
        <v>37</v>
      </c>
      <c r="P2" s="6" t="s">
        <v>37</v>
      </c>
    </row>
    <row r="3" spans="1:16" ht="15" customHeight="1" x14ac:dyDescent="0.25">
      <c r="A3" s="1" t="s">
        <v>65</v>
      </c>
      <c r="B3" s="1"/>
      <c r="C3" s="1"/>
      <c r="D3" s="2">
        <v>38313.24</v>
      </c>
      <c r="E3" s="2">
        <v>15465.24</v>
      </c>
      <c r="F3" s="2">
        <v>2</v>
      </c>
      <c r="G3" s="2">
        <v>8400</v>
      </c>
      <c r="H3" s="2">
        <v>48</v>
      </c>
      <c r="I3" s="2">
        <v>134400</v>
      </c>
      <c r="J3" s="2" t="s">
        <v>41</v>
      </c>
      <c r="K3" s="2" t="s">
        <v>41</v>
      </c>
      <c r="L3" s="2">
        <v>142800</v>
      </c>
      <c r="M3" s="2">
        <v>127334.76</v>
      </c>
      <c r="N3" s="2">
        <v>18682.91</v>
      </c>
      <c r="O3" s="2" t="s">
        <v>41</v>
      </c>
      <c r="P3" s="2">
        <v>146017.67000000001</v>
      </c>
    </row>
    <row r="4" spans="1:16" ht="15" customHeight="1" x14ac:dyDescent="0.25">
      <c r="A4" s="1" t="s">
        <v>66</v>
      </c>
      <c r="B4" s="1"/>
      <c r="C4" s="1"/>
      <c r="D4" s="2">
        <v>32839.919999999998</v>
      </c>
      <c r="E4" s="2">
        <v>13255.92</v>
      </c>
      <c r="F4" s="2">
        <v>2</v>
      </c>
      <c r="G4" s="2">
        <v>7200</v>
      </c>
      <c r="H4" s="2">
        <v>48</v>
      </c>
      <c r="I4" s="2">
        <v>115200</v>
      </c>
      <c r="J4" s="2" t="s">
        <v>41</v>
      </c>
      <c r="K4" s="2" t="s">
        <v>41</v>
      </c>
      <c r="L4" s="2">
        <v>122400</v>
      </c>
      <c r="M4" s="2">
        <v>109144.08</v>
      </c>
      <c r="N4" s="2" t="s">
        <v>41</v>
      </c>
      <c r="O4" s="2">
        <v>89655.3</v>
      </c>
      <c r="P4" s="2">
        <v>198799.38</v>
      </c>
    </row>
    <row r="5" spans="1:16" ht="15" customHeight="1" x14ac:dyDescent="0.25">
      <c r="A5" s="1" t="s">
        <v>67</v>
      </c>
      <c r="B5" s="1"/>
      <c r="C5" s="1"/>
      <c r="D5" s="2">
        <v>33403.35</v>
      </c>
      <c r="E5" s="2">
        <v>13483.35</v>
      </c>
      <c r="F5" s="2">
        <v>9.5</v>
      </c>
      <c r="G5" s="2">
        <v>28500</v>
      </c>
      <c r="H5" s="2">
        <v>48</v>
      </c>
      <c r="I5" s="2">
        <v>96000</v>
      </c>
      <c r="J5" s="2" t="s">
        <v>41</v>
      </c>
      <c r="K5" s="2" t="s">
        <v>41</v>
      </c>
      <c r="L5" s="2">
        <v>124500</v>
      </c>
      <c r="M5" s="2">
        <v>111016.65</v>
      </c>
      <c r="N5" s="2">
        <v>18682.91</v>
      </c>
      <c r="O5" s="2" t="s">
        <v>41</v>
      </c>
      <c r="P5" s="2">
        <v>129699.56</v>
      </c>
    </row>
    <row r="6" spans="1:16" ht="15" customHeight="1" x14ac:dyDescent="0.25">
      <c r="A6" s="1" t="s">
        <v>68</v>
      </c>
      <c r="B6" s="1"/>
      <c r="C6" s="1"/>
      <c r="D6" s="2">
        <v>48294</v>
      </c>
      <c r="E6" s="2">
        <v>19494</v>
      </c>
      <c r="F6" s="2">
        <v>8</v>
      </c>
      <c r="G6" s="2">
        <v>36000</v>
      </c>
      <c r="H6" s="2">
        <v>48</v>
      </c>
      <c r="I6" s="2">
        <v>144000</v>
      </c>
      <c r="J6" s="2" t="s">
        <v>41</v>
      </c>
      <c r="K6" s="2" t="s">
        <v>41</v>
      </c>
      <c r="L6" s="2">
        <v>180000</v>
      </c>
      <c r="M6" s="2">
        <v>160506</v>
      </c>
      <c r="N6" s="2">
        <v>18682.91</v>
      </c>
      <c r="O6" s="2" t="s">
        <v>41</v>
      </c>
      <c r="P6" s="2">
        <v>179188.91</v>
      </c>
    </row>
    <row r="7" spans="1:16" ht="15" customHeight="1" x14ac:dyDescent="0.25">
      <c r="A7" s="1" t="s">
        <v>69</v>
      </c>
      <c r="B7" s="1"/>
      <c r="C7" s="1"/>
      <c r="D7" s="2">
        <v>47690.33</v>
      </c>
      <c r="E7" s="2">
        <v>19250.330000000002</v>
      </c>
      <c r="F7" s="2">
        <v>7.5</v>
      </c>
      <c r="G7" s="2">
        <v>33750</v>
      </c>
      <c r="H7" s="2">
        <v>48</v>
      </c>
      <c r="I7" s="2">
        <v>144000</v>
      </c>
      <c r="J7" s="2" t="s">
        <v>41</v>
      </c>
      <c r="K7" s="2" t="s">
        <v>41</v>
      </c>
      <c r="L7" s="2">
        <v>177750</v>
      </c>
      <c r="M7" s="2">
        <v>158499.67000000001</v>
      </c>
      <c r="N7" s="2" t="s">
        <v>41</v>
      </c>
      <c r="O7" s="2" t="s">
        <v>41</v>
      </c>
      <c r="P7" s="2">
        <v>158499.67000000001</v>
      </c>
    </row>
    <row r="8" spans="1:16" ht="15" customHeight="1" x14ac:dyDescent="0.25">
      <c r="A8" s="1" t="s">
        <v>70</v>
      </c>
      <c r="B8" s="1"/>
      <c r="C8" s="1"/>
      <c r="D8" s="2">
        <v>39943.160000000003</v>
      </c>
      <c r="E8" s="2">
        <v>16123.16</v>
      </c>
      <c r="F8" s="2">
        <v>7.7</v>
      </c>
      <c r="G8" s="2">
        <v>28875</v>
      </c>
      <c r="H8" s="2">
        <v>48</v>
      </c>
      <c r="I8" s="2">
        <v>120000</v>
      </c>
      <c r="J8" s="2" t="s">
        <v>41</v>
      </c>
      <c r="K8" s="2" t="s">
        <v>41</v>
      </c>
      <c r="L8" s="2">
        <v>148875</v>
      </c>
      <c r="M8" s="2">
        <v>132751.84</v>
      </c>
      <c r="N8" s="2">
        <v>18682.91</v>
      </c>
      <c r="O8" s="2" t="s">
        <v>41</v>
      </c>
      <c r="P8" s="2">
        <v>151434.75</v>
      </c>
    </row>
    <row r="9" spans="1:16" ht="15" customHeight="1" x14ac:dyDescent="0.25">
      <c r="A9" s="1" t="s">
        <v>71</v>
      </c>
      <c r="B9" s="1"/>
      <c r="C9" s="1"/>
      <c r="D9" s="2">
        <v>29620.32</v>
      </c>
      <c r="E9" s="2">
        <v>11956.32</v>
      </c>
      <c r="F9" s="2">
        <v>0</v>
      </c>
      <c r="G9" s="2">
        <v>0</v>
      </c>
      <c r="H9" s="2">
        <v>48</v>
      </c>
      <c r="I9" s="2">
        <v>110400</v>
      </c>
      <c r="J9" s="2" t="s">
        <v>41</v>
      </c>
      <c r="K9" s="2" t="s">
        <v>41</v>
      </c>
      <c r="L9" s="2">
        <v>110400</v>
      </c>
      <c r="M9" s="2">
        <v>98443.68</v>
      </c>
      <c r="N9" s="2" t="s">
        <v>41</v>
      </c>
      <c r="O9" s="2">
        <v>89655.3</v>
      </c>
      <c r="P9" s="2">
        <v>188098.98</v>
      </c>
    </row>
    <row r="10" spans="1:16" ht="15" customHeight="1" x14ac:dyDescent="0.25">
      <c r="A10" s="1" t="s">
        <v>72</v>
      </c>
      <c r="B10" s="1"/>
      <c r="C10" s="1"/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56</v>
      </c>
      <c r="K10" s="2">
        <v>0</v>
      </c>
      <c r="L10" s="2">
        <v>0</v>
      </c>
      <c r="M10" s="2">
        <v>0</v>
      </c>
      <c r="N10" s="2">
        <v>0</v>
      </c>
      <c r="O10" s="2" t="s">
        <v>41</v>
      </c>
      <c r="P10" s="2">
        <v>0</v>
      </c>
    </row>
    <row r="11" spans="1:16" ht="15" customHeight="1" x14ac:dyDescent="0.25">
      <c r="A11" s="1" t="s">
        <v>73</v>
      </c>
      <c r="B11" s="1"/>
      <c r="C11" s="1"/>
      <c r="D11" s="2">
        <v>20793.25</v>
      </c>
      <c r="E11" s="2">
        <v>8393.25</v>
      </c>
      <c r="F11" s="2">
        <v>0</v>
      </c>
      <c r="G11" s="2">
        <v>0</v>
      </c>
      <c r="H11" s="2">
        <v>38.75</v>
      </c>
      <c r="I11" s="2">
        <v>77500</v>
      </c>
      <c r="J11" s="2" t="s">
        <v>41</v>
      </c>
      <c r="K11" s="2" t="s">
        <v>41</v>
      </c>
      <c r="L11" s="2">
        <v>77500</v>
      </c>
      <c r="M11" s="2">
        <v>69106.75</v>
      </c>
      <c r="N11" s="2">
        <v>18682.91</v>
      </c>
      <c r="O11" s="2" t="s">
        <v>41</v>
      </c>
      <c r="P11" s="2">
        <v>87789.66</v>
      </c>
    </row>
    <row r="12" spans="1:16" ht="15" customHeight="1" x14ac:dyDescent="0.25">
      <c r="A12" s="1" t="s">
        <v>36</v>
      </c>
      <c r="B12" s="1"/>
      <c r="C12" s="1"/>
      <c r="D12" s="2">
        <v>290897.57</v>
      </c>
      <c r="E12" s="2">
        <v>117421.57</v>
      </c>
      <c r="F12" s="2">
        <v>36.700000000000003</v>
      </c>
      <c r="G12" s="2">
        <v>142725</v>
      </c>
      <c r="H12" s="2">
        <v>374.75</v>
      </c>
      <c r="I12" s="2">
        <v>941500</v>
      </c>
      <c r="J12" s="2">
        <v>56</v>
      </c>
      <c r="K12" s="2">
        <v>0</v>
      </c>
      <c r="L12" s="2">
        <v>1084225</v>
      </c>
      <c r="M12" s="2">
        <v>966803.43</v>
      </c>
      <c r="N12" s="2">
        <v>93414.55</v>
      </c>
      <c r="O12" s="2">
        <v>179310.6</v>
      </c>
      <c r="P12" s="2">
        <v>1239528.58</v>
      </c>
    </row>
  </sheetData>
  <mergeCells count="15">
    <mergeCell ref="A10:C10"/>
    <mergeCell ref="A11:C11"/>
    <mergeCell ref="A12:C12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5043-E388-4BEF-9CE8-9E495FB4D0AD}">
  <dimension ref="A1:O12"/>
  <sheetViews>
    <sheetView workbookViewId="0">
      <selection sqref="A1:XFD104857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5" width="14.28515625" customWidth="1"/>
    <col min="6" max="6" width="7.140625" bestFit="1" customWidth="1"/>
    <col min="7" max="7" width="14.28515625" customWidth="1"/>
    <col min="8" max="8" width="7.140625" bestFit="1" customWidth="1"/>
    <col min="9" max="15" width="14.28515625" customWidth="1"/>
  </cols>
  <sheetData>
    <row r="1" spans="1:15" ht="45" x14ac:dyDescent="0.25">
      <c r="A1" s="7" t="s">
        <v>51</v>
      </c>
      <c r="B1" s="8"/>
      <c r="C1" s="9"/>
      <c r="D1" s="4" t="s">
        <v>42</v>
      </c>
      <c r="E1" s="4"/>
      <c r="F1" s="4" t="s">
        <v>52</v>
      </c>
      <c r="G1" s="4"/>
      <c r="H1" s="4" t="s">
        <v>43</v>
      </c>
      <c r="I1" s="4"/>
      <c r="J1" s="3" t="s">
        <v>46</v>
      </c>
      <c r="K1" s="3" t="s">
        <v>47</v>
      </c>
      <c r="L1" s="3" t="s">
        <v>48</v>
      </c>
      <c r="M1" s="3" t="s">
        <v>49</v>
      </c>
      <c r="N1" s="3" t="s">
        <v>53</v>
      </c>
      <c r="O1" s="3" t="s">
        <v>44</v>
      </c>
    </row>
    <row r="2" spans="1:15" ht="15" customHeight="1" x14ac:dyDescent="0.25">
      <c r="A2" s="5" t="s">
        <v>1</v>
      </c>
      <c r="B2" s="5"/>
      <c r="C2" s="5"/>
      <c r="D2" s="6" t="s">
        <v>0</v>
      </c>
      <c r="E2" s="6" t="s">
        <v>37</v>
      </c>
      <c r="F2" s="6" t="s">
        <v>0</v>
      </c>
      <c r="G2" s="6" t="s">
        <v>37</v>
      </c>
      <c r="H2" s="6" t="s">
        <v>0</v>
      </c>
      <c r="I2" s="6" t="s">
        <v>37</v>
      </c>
      <c r="J2" s="6" t="s">
        <v>37</v>
      </c>
      <c r="K2" s="6" t="s">
        <v>37</v>
      </c>
      <c r="L2" s="6" t="s">
        <v>37</v>
      </c>
      <c r="M2" s="6" t="s">
        <v>37</v>
      </c>
      <c r="N2" s="6" t="s">
        <v>37</v>
      </c>
      <c r="O2" s="6" t="s">
        <v>37</v>
      </c>
    </row>
    <row r="3" spans="1:15" ht="15" customHeight="1" x14ac:dyDescent="0.25">
      <c r="A3" s="1" t="s">
        <v>54</v>
      </c>
      <c r="B3" s="1"/>
      <c r="C3" s="1"/>
      <c r="D3" s="2">
        <v>0</v>
      </c>
      <c r="E3" s="2">
        <v>0</v>
      </c>
      <c r="F3" s="2" t="s">
        <v>41</v>
      </c>
      <c r="G3" s="2" t="s">
        <v>41</v>
      </c>
      <c r="H3" s="2">
        <v>45.77</v>
      </c>
      <c r="I3" s="2">
        <v>91540</v>
      </c>
      <c r="J3" s="2">
        <v>91540</v>
      </c>
      <c r="K3" s="2">
        <v>91540</v>
      </c>
      <c r="L3" s="2">
        <v>63465.64</v>
      </c>
      <c r="M3" s="2" t="s">
        <v>41</v>
      </c>
      <c r="N3" s="2" t="s">
        <v>41</v>
      </c>
      <c r="O3" s="2">
        <v>155005.64000000001</v>
      </c>
    </row>
    <row r="4" spans="1:15" ht="15" customHeight="1" x14ac:dyDescent="0.25">
      <c r="A4" s="1" t="s">
        <v>55</v>
      </c>
      <c r="B4" s="1"/>
      <c r="C4" s="1"/>
      <c r="D4" s="2">
        <v>0</v>
      </c>
      <c r="E4" s="2">
        <v>0</v>
      </c>
      <c r="F4" s="2" t="s">
        <v>41</v>
      </c>
      <c r="G4" s="2" t="s">
        <v>41</v>
      </c>
      <c r="H4" s="2">
        <v>40.15</v>
      </c>
      <c r="I4" s="2">
        <v>66327.8</v>
      </c>
      <c r="J4" s="2">
        <v>66327.8</v>
      </c>
      <c r="K4" s="2">
        <v>66327.8</v>
      </c>
      <c r="L4" s="2" t="s">
        <v>41</v>
      </c>
      <c r="M4" s="2">
        <v>419039.08</v>
      </c>
      <c r="N4" s="2" t="s">
        <v>41</v>
      </c>
      <c r="O4" s="2">
        <v>485366.88</v>
      </c>
    </row>
    <row r="5" spans="1:15" ht="15" customHeight="1" x14ac:dyDescent="0.25">
      <c r="A5" s="1" t="s">
        <v>56</v>
      </c>
      <c r="B5" s="1"/>
      <c r="C5" s="1"/>
      <c r="D5" s="2">
        <v>4.47</v>
      </c>
      <c r="E5" s="2">
        <v>18103.5</v>
      </c>
      <c r="F5" s="2">
        <f>G5/2500</f>
        <v>38</v>
      </c>
      <c r="G5" s="2">
        <v>95000</v>
      </c>
      <c r="H5" s="2">
        <v>48</v>
      </c>
      <c r="I5" s="2">
        <v>129600</v>
      </c>
      <c r="J5" s="2">
        <v>242703.5</v>
      </c>
      <c r="K5" s="2">
        <v>242703.5</v>
      </c>
      <c r="L5" s="2">
        <v>58547.94</v>
      </c>
      <c r="M5" s="2" t="s">
        <v>41</v>
      </c>
      <c r="N5" s="2" t="s">
        <v>41</v>
      </c>
      <c r="O5" s="2">
        <v>301251.44</v>
      </c>
    </row>
    <row r="6" spans="1:15" ht="15" customHeight="1" x14ac:dyDescent="0.25">
      <c r="A6" s="1" t="s">
        <v>57</v>
      </c>
      <c r="B6" s="1"/>
      <c r="C6" s="1"/>
      <c r="D6" s="2">
        <v>0</v>
      </c>
      <c r="E6" s="2">
        <v>0</v>
      </c>
      <c r="F6" s="2" t="s">
        <v>41</v>
      </c>
      <c r="G6" s="2" t="s">
        <v>41</v>
      </c>
      <c r="H6" s="2">
        <v>48</v>
      </c>
      <c r="I6" s="2">
        <v>81696</v>
      </c>
      <c r="J6" s="2">
        <v>81696</v>
      </c>
      <c r="K6" s="2">
        <v>81696</v>
      </c>
      <c r="L6" s="2" t="s">
        <v>41</v>
      </c>
      <c r="M6" s="2">
        <v>465232.44</v>
      </c>
      <c r="N6" s="2" t="s">
        <v>41</v>
      </c>
      <c r="O6" s="2">
        <v>546928.43999999994</v>
      </c>
    </row>
    <row r="7" spans="1:15" ht="15" customHeight="1" x14ac:dyDescent="0.25">
      <c r="A7" s="1" t="s">
        <v>58</v>
      </c>
      <c r="B7" s="1"/>
      <c r="C7" s="1"/>
      <c r="D7" s="2">
        <v>4.3099999999999996</v>
      </c>
      <c r="E7" s="2">
        <v>18102</v>
      </c>
      <c r="F7" s="2" t="s">
        <v>41</v>
      </c>
      <c r="G7" s="2" t="s">
        <v>41</v>
      </c>
      <c r="H7" s="2">
        <v>48</v>
      </c>
      <c r="I7" s="2">
        <v>134400</v>
      </c>
      <c r="J7" s="2">
        <v>152502</v>
      </c>
      <c r="K7" s="2">
        <v>152502</v>
      </c>
      <c r="L7" s="2">
        <v>65970.77</v>
      </c>
      <c r="M7" s="2" t="s">
        <v>41</v>
      </c>
      <c r="N7" s="2" t="s">
        <v>41</v>
      </c>
      <c r="O7" s="2">
        <v>218472.77</v>
      </c>
    </row>
    <row r="8" spans="1:15" ht="15" customHeight="1" x14ac:dyDescent="0.25">
      <c r="A8" s="1" t="s">
        <v>59</v>
      </c>
      <c r="B8" s="1"/>
      <c r="C8" s="1"/>
      <c r="D8" s="2">
        <v>0</v>
      </c>
      <c r="E8" s="2">
        <v>0</v>
      </c>
      <c r="F8" s="2" t="s">
        <v>41</v>
      </c>
      <c r="G8" s="2" t="s">
        <v>41</v>
      </c>
      <c r="H8" s="2">
        <v>56</v>
      </c>
      <c r="I8" s="2">
        <v>112000</v>
      </c>
      <c r="J8" s="2">
        <v>112000</v>
      </c>
      <c r="K8" s="2">
        <v>112000</v>
      </c>
      <c r="L8" s="2">
        <v>19457.93</v>
      </c>
      <c r="M8" s="2" t="s">
        <v>41</v>
      </c>
      <c r="N8" s="2" t="s">
        <v>41</v>
      </c>
      <c r="O8" s="2">
        <v>131457.93</v>
      </c>
    </row>
    <row r="9" spans="1:15" ht="15" customHeight="1" x14ac:dyDescent="0.25">
      <c r="A9" s="1" t="s">
        <v>60</v>
      </c>
      <c r="B9" s="1"/>
      <c r="C9" s="1"/>
      <c r="D9" s="2">
        <v>0</v>
      </c>
      <c r="E9" s="2">
        <v>0</v>
      </c>
      <c r="F9" s="2" t="s">
        <v>41</v>
      </c>
      <c r="G9" s="2" t="s">
        <v>41</v>
      </c>
      <c r="H9" s="2">
        <v>48</v>
      </c>
      <c r="I9" s="2">
        <v>96000</v>
      </c>
      <c r="J9" s="2">
        <v>138000</v>
      </c>
      <c r="K9" s="2">
        <v>138000</v>
      </c>
      <c r="L9" s="2">
        <v>69824.490000000005</v>
      </c>
      <c r="M9" s="2" t="s">
        <v>41</v>
      </c>
      <c r="N9" s="2">
        <v>42000</v>
      </c>
      <c r="O9" s="2">
        <v>207824.49</v>
      </c>
    </row>
    <row r="10" spans="1:15" ht="15" customHeight="1" x14ac:dyDescent="0.25">
      <c r="A10" s="1" t="s">
        <v>61</v>
      </c>
      <c r="B10" s="1"/>
      <c r="C10" s="1"/>
      <c r="D10" s="2">
        <v>0</v>
      </c>
      <c r="E10" s="2">
        <v>0</v>
      </c>
      <c r="F10" s="2" t="s">
        <v>41</v>
      </c>
      <c r="G10" s="2" t="s">
        <v>41</v>
      </c>
      <c r="H10" s="2">
        <v>48</v>
      </c>
      <c r="I10" s="2">
        <v>96000</v>
      </c>
      <c r="J10" s="2">
        <v>96000</v>
      </c>
      <c r="K10" s="2">
        <v>96000</v>
      </c>
      <c r="L10" s="2">
        <v>46107.6</v>
      </c>
      <c r="M10" s="2" t="s">
        <v>41</v>
      </c>
      <c r="N10" s="2" t="s">
        <v>41</v>
      </c>
      <c r="O10" s="2">
        <v>142107.6</v>
      </c>
    </row>
    <row r="11" spans="1:15" ht="15" customHeight="1" x14ac:dyDescent="0.25">
      <c r="A11" s="1" t="s">
        <v>36</v>
      </c>
      <c r="B11" s="1"/>
      <c r="C11" s="1"/>
      <c r="D11" s="2">
        <v>8.7799999999999994</v>
      </c>
      <c r="E11" s="2">
        <v>36205.5</v>
      </c>
      <c r="F11" s="2">
        <v>38</v>
      </c>
      <c r="G11" s="2">
        <v>95000</v>
      </c>
      <c r="H11" s="2">
        <v>381.92</v>
      </c>
      <c r="I11" s="2">
        <v>807563.8</v>
      </c>
      <c r="J11" s="2">
        <v>980769.3</v>
      </c>
      <c r="K11" s="2">
        <v>980769.3</v>
      </c>
      <c r="L11" s="2">
        <v>323374.37</v>
      </c>
      <c r="M11" s="2">
        <v>884271.52</v>
      </c>
      <c r="N11" s="2">
        <v>42000</v>
      </c>
      <c r="O11" s="2">
        <v>2188415.19</v>
      </c>
    </row>
    <row r="12" spans="1:15" x14ac:dyDescent="0.25">
      <c r="I12" s="10" t="s">
        <v>62</v>
      </c>
    </row>
  </sheetData>
  <mergeCells count="14">
    <mergeCell ref="A10:C10"/>
    <mergeCell ref="A11:C11"/>
    <mergeCell ref="A4:C4"/>
    <mergeCell ref="A5:C5"/>
    <mergeCell ref="A6:C6"/>
    <mergeCell ref="A7:C7"/>
    <mergeCell ref="A8:C8"/>
    <mergeCell ref="A9:C9"/>
    <mergeCell ref="A1:C1"/>
    <mergeCell ref="D1:E1"/>
    <mergeCell ref="F1:G1"/>
    <mergeCell ref="H1:I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2026-02-02T23:15:33Z</dcterms:modified>
</cp:coreProperties>
</file>