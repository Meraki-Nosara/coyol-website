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BILIDAD ENERO 2026\"/>
    </mc:Choice>
  </mc:AlternateContent>
  <xr:revisionPtr revIDLastSave="0" documentId="13_ncr:1_{82593C58-6EB3-49BA-AD0A-836D0D072F04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4" l="1"/>
  <c r="F9" i="1"/>
</calcChain>
</file>

<file path=xl/sharedStrings.xml><?xml version="1.0" encoding="utf-8"?>
<sst xmlns="http://schemas.openxmlformats.org/spreadsheetml/2006/main" count="342" uniqueCount="85">
  <si>
    <t>Cantidad</t>
  </si>
  <si>
    <t>Desc. empleado</t>
  </si>
  <si>
    <t>ALEJANDRO XAVIER SALAZAR CARVAJAL</t>
  </si>
  <si>
    <t>BRYAN ONIEL ZAMORA CRUZ</t>
  </si>
  <si>
    <t>BYRON ANTONIO ESPINOZA ALVARADO</t>
  </si>
  <si>
    <t>CARLOS VARGAS FERNANDEZ</t>
  </si>
  <si>
    <t>CARMEN ISABEL MUÑOZ ESPINOZA</t>
  </si>
  <si>
    <t>DARWIN TUGWELL FONSECA</t>
  </si>
  <si>
    <t>DIEGO ALEJANDRO LOPEZ ALVAREZ</t>
  </si>
  <si>
    <t>EDER JESUS ROJAS HERNANDEZ</t>
  </si>
  <si>
    <t>ELIZABETH SABALLO MAYORGA</t>
  </si>
  <si>
    <t>ERICK ANTONIO CISNE SILVA</t>
  </si>
  <si>
    <t>ESMERALDA DAYANA LOPEZ MATARRITA</t>
  </si>
  <si>
    <t>EVELYN UGALDE RODRIGUEZ</t>
  </si>
  <si>
    <t>FRANKLIN ALI MENDOZA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</si>
  <si>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</si>
  <si>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</si>
  <si>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</si>
  <si>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</si>
  <si>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</si>
  <si>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</si>
  <si>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JORDAN ENRIQUE JIMENEZ GONZALES</t>
  </si>
  <si>
    <t>JORGE JOSE SILVA ESPINOZA</t>
  </si>
  <si>
    <t>JULIA MARIA ARRIETA EDUARTE</t>
  </si>
  <si>
    <t>KEISY DANIELA RUIZ RUIZ</t>
  </si>
  <si>
    <t>KIMBERLEEN PAOLA MOLINA SOTO</t>
  </si>
  <si>
    <t>LINDA LORENA GUEVARA TORRES</t>
  </si>
  <si>
    <t>MARIA NELA HERNANDEZ GUTIERREZ</t>
  </si>
  <si>
    <t>MARIA TERESA SABALLO MAYORGA</t>
  </si>
  <si>
    <t>MARISELA DEL CARMEN MENDOZA CALERO</t>
  </si>
  <si>
    <t>NIELSI SELENE NAVARRETE GOMEZ</t>
  </si>
  <si>
    <t>ROSAURA CASTILLO ALVARADO</t>
  </si>
  <si>
    <t>SHARON TATIANA MATARRITA SEGURA</t>
  </si>
  <si>
    <t>SOFIA NATALIA CAMPOS BRENEZ</t>
  </si>
  <si>
    <t>VERONICA MEJIA GONZALES</t>
  </si>
  <si>
    <t>YERLING CARRILLO LEAL</t>
  </si>
  <si>
    <t>Total general</t>
  </si>
  <si>
    <t>Monto</t>
  </si>
  <si>
    <t>Aporte patronal CCSS</t>
  </si>
  <si>
    <t>CCSS  (10.83%)</t>
  </si>
  <si>
    <t>Horas Apoyo Esh</t>
  </si>
  <si>
    <t/>
  </si>
  <si>
    <t>Horas Extras Diurnas</t>
  </si>
  <si>
    <t>Horas Regulares Diurnas</t>
  </si>
  <si>
    <t>Monto a pagar</t>
  </si>
  <si>
    <t>Prestamos</t>
  </si>
  <si>
    <t>Salario Bruto</t>
  </si>
  <si>
    <t>Salario Neto</t>
  </si>
  <si>
    <t>Service Tax Cocina</t>
  </si>
  <si>
    <t>Service Tax Salon + Tip tarjeta</t>
  </si>
  <si>
    <t>NOMINA LA LUNA SEM 02-08 FEB</t>
  </si>
  <si>
    <t>NOMINA COYOL SEM 02-08 ENE 2026</t>
  </si>
  <si>
    <t>ALVARO LUIS PIÑAR JIMENEZ</t>
  </si>
  <si>
    <t>ANDRES TROCONIS ROMERO</t>
  </si>
  <si>
    <t>ANTHONY WRIGHT JIMENEZ</t>
  </si>
  <si>
    <t>AURORA MARIA PRENDAS HERNANDEZ</t>
  </si>
  <si>
    <t>GEORGE DANIEL LOPEZ GOMEZ</t>
  </si>
  <si>
    <t>JOHN FREISER LOPEZ JIMENEZ</t>
  </si>
  <si>
    <t>JOSUE EMANUEL ORTEGA BARRANTES</t>
  </si>
  <si>
    <t>LEINER RODRIGUEZ VILLALOBOS</t>
  </si>
  <si>
    <t>LUIS ALEJANDRO ARCE ALFARO</t>
  </si>
  <si>
    <t>MARIO ALBERTO CAMPOS CASTILLO</t>
  </si>
  <si>
    <t>MEYLING DE LOS ANGELES PINEDA PALACIOS</t>
  </si>
  <si>
    <t>MOISES DORMUZ CASTILLO</t>
  </si>
  <si>
    <t>YEFERSON JESUA RIVERA GUEVARA</t>
  </si>
  <si>
    <t>YORDANY DIAZ MATARRITA</t>
  </si>
  <si>
    <t>NOMINA ESH SEM 02-08 ENERO 2026</t>
  </si>
  <si>
    <t>ADRIANA MACIEL CRUZ CRUZ</t>
  </si>
  <si>
    <t>CARLOS CABRERA VEGA</t>
  </si>
  <si>
    <t>CHEIRY NICOLE PEREZ PEREZ</t>
  </si>
  <si>
    <t>DARIN TUGWELL RODRIGUEZ</t>
  </si>
  <si>
    <t>GABRIELA HERRERA MONTIEL</t>
  </si>
  <si>
    <t>GRISELL DAYANNA LOPEZ ALVAREZ</t>
  </si>
  <si>
    <t>JUAN RAMON CASTILLO ALVARADO</t>
  </si>
  <si>
    <t>MEYLING URBINA MARTINEZ</t>
  </si>
  <si>
    <t>SILVIA PILAR RODRIGUEZ MATARRITA</t>
  </si>
  <si>
    <t>ESPECIAL SEM 02-08 ENERO 2026</t>
  </si>
  <si>
    <t>Horas Regulares Cocina (2500)</t>
  </si>
  <si>
    <t>ALEJANDRO COYOL</t>
  </si>
  <si>
    <t>ALEXANDER SALAZAR GRANADOS</t>
  </si>
  <si>
    <t>ELVIN JAVIER LOPEZ LOPEZ</t>
  </si>
  <si>
    <t>JASSON ESPINOZA MUÑOZ</t>
  </si>
  <si>
    <t>MARCO GERVASINI</t>
  </si>
  <si>
    <t>RONALD CRUZ PILA</t>
  </si>
  <si>
    <t>ZELANDIA CRUZ BRENES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</si>
</sst>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showGridLines="0" topLeftCell="A4" workbookViewId="0">
      <selection activeCell="E3" sqref="E3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23.42578125" bestFit="1" customWidth="1"/>
    <col min="5" max="5" width="14.28515625" customWidth="1"/>
    <col min="6" max="6" width="7.28515625" bestFit="1" customWidth="1"/>
    <col min="7" max="9" width="14.28515625" customWidth="1"/>
    <col min="10" max="10" width="9" bestFit="1" customWidth="1"/>
    <col min="11" max="17" width="14.28515625" customWidth="1"/>
  </cols>
  <sheetData>
    <row r="1" spans="1:17" ht="23.25" customHeight="1" x14ac:dyDescent="0.25">
      <c r="A1" s="7" t="s">
        <v>50</v>
      </c>
      <c r="B1" s="8"/>
      <c r="C1" s="9"/>
      <c r="D1" s="3"/>
      <c r="E1" s="3"/>
      <c r="F1" s="4" t="s">
        <v>40</v>
      </c>
      <c r="G1" s="4"/>
      <c r="H1" s="4" t="s">
        <v>42</v>
      </c>
      <c r="I1" s="4"/>
      <c r="J1" s="4" t="s">
        <v>43</v>
      </c>
      <c r="K1" s="4"/>
      <c r="L1" s="3" t="s">
        <v>45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44</v>
      </c>
    </row>
    <row r="2" spans="1:17" ht="15" customHeight="1" x14ac:dyDescent="0.25">
      <c r="A2" s="5" t="s">
        <v>1</v>
      </c>
      <c r="B2" s="5"/>
      <c r="C2" s="5"/>
      <c r="D2" s="6" t="s">
        <v>38</v>
      </c>
      <c r="E2" s="3" t="s">
        <v>39</v>
      </c>
      <c r="F2" s="6" t="s">
        <v>0</v>
      </c>
      <c r="G2" s="6" t="s">
        <v>37</v>
      </c>
      <c r="H2" s="6" t="s">
        <v>0</v>
      </c>
      <c r="I2" s="6" t="s">
        <v>37</v>
      </c>
      <c r="J2" s="6" t="s">
        <v>0</v>
      </c>
      <c r="K2" s="6" t="s">
        <v>37</v>
      </c>
      <c r="L2" s="6" t="s">
        <v>37</v>
      </c>
      <c r="M2" s="6" t="s">
        <v>37</v>
      </c>
      <c r="N2" s="6" t="s">
        <v>37</v>
      </c>
      <c r="O2" s="6" t="s">
        <v>37</v>
      </c>
      <c r="P2" s="6" t="s">
        <v>37</v>
      </c>
      <c r="Q2" s="6" t="s">
        <v>37</v>
      </c>
    </row>
    <row r="3" spans="1:17" ht="15" customHeight="1" x14ac:dyDescent="0.25">
      <c r="A3" s="1" t="s">
        <v>2</v>
      </c>
      <c r="B3" s="1"/>
      <c r="C3" s="1"/>
      <c r="D3" s="2">
        <v>36172.519999999997</v>
      </c>
      <c r="E3" s="2">
        <v>14471.72</v>
      </c>
      <c r="F3" s="2" t="s">
        <v>41</v>
      </c>
      <c r="G3" s="2" t="s">
        <v>41</v>
      </c>
      <c r="H3" s="2">
        <v>9.1</v>
      </c>
      <c r="I3" s="2">
        <v>30030</v>
      </c>
      <c r="J3" s="2">
        <v>48</v>
      </c>
      <c r="K3" s="2">
        <v>105600</v>
      </c>
      <c r="L3" s="2" t="s">
        <v>41</v>
      </c>
      <c r="M3" s="2">
        <v>135630</v>
      </c>
      <c r="N3" s="2">
        <v>121158.28</v>
      </c>
      <c r="O3" s="2">
        <v>90632.960000000006</v>
      </c>
      <c r="P3" s="2" t="s">
        <v>41</v>
      </c>
      <c r="Q3" s="2">
        <v>211791.24</v>
      </c>
    </row>
    <row r="4" spans="1:17" ht="15" customHeight="1" x14ac:dyDescent="0.25">
      <c r="A4" s="1" t="s">
        <v>3</v>
      </c>
      <c r="B4" s="1"/>
      <c r="C4" s="1"/>
      <c r="D4" s="2">
        <v>32164.02</v>
      </c>
      <c r="E4" s="2">
        <v>12868.02</v>
      </c>
      <c r="F4" s="2" t="s">
        <v>41</v>
      </c>
      <c r="G4" s="2" t="s">
        <v>41</v>
      </c>
      <c r="H4" s="2">
        <v>8.1999999999999993</v>
      </c>
      <c r="I4" s="2">
        <v>24600</v>
      </c>
      <c r="J4" s="2">
        <v>48</v>
      </c>
      <c r="K4" s="2">
        <v>96000</v>
      </c>
      <c r="L4" s="2" t="s">
        <v>41</v>
      </c>
      <c r="M4" s="2">
        <v>120600</v>
      </c>
      <c r="N4" s="2">
        <v>107731.98</v>
      </c>
      <c r="O4" s="2">
        <v>90632.960000000006</v>
      </c>
      <c r="P4" s="2" t="s">
        <v>41</v>
      </c>
      <c r="Q4" s="2">
        <v>198364.94</v>
      </c>
    </row>
    <row r="5" spans="1:17" ht="15" customHeight="1" x14ac:dyDescent="0.25">
      <c r="A5" s="1" t="s">
        <v>4</v>
      </c>
      <c r="B5" s="1"/>
      <c r="C5" s="1"/>
      <c r="D5" s="2">
        <v>33284.160000000003</v>
      </c>
      <c r="E5" s="2">
        <v>13316.16</v>
      </c>
      <c r="F5" s="2" t="s">
        <v>41</v>
      </c>
      <c r="G5" s="2" t="s">
        <v>41</v>
      </c>
      <c r="H5" s="2">
        <v>0</v>
      </c>
      <c r="I5" s="2">
        <v>0</v>
      </c>
      <c r="J5" s="2">
        <v>48</v>
      </c>
      <c r="K5" s="2">
        <v>124800</v>
      </c>
      <c r="L5" s="2" t="s">
        <v>41</v>
      </c>
      <c r="M5" s="2">
        <v>124800</v>
      </c>
      <c r="N5" s="2">
        <v>111483.84</v>
      </c>
      <c r="O5" s="2">
        <v>44980.07</v>
      </c>
      <c r="P5" s="2" t="s">
        <v>41</v>
      </c>
      <c r="Q5" s="2">
        <v>156463.91</v>
      </c>
    </row>
    <row r="6" spans="1:17" ht="15" customHeight="1" x14ac:dyDescent="0.25">
      <c r="A6" s="1" t="s">
        <v>5</v>
      </c>
      <c r="B6" s="1"/>
      <c r="C6" s="1"/>
      <c r="D6" s="2">
        <v>14253.03</v>
      </c>
      <c r="E6" s="2">
        <v>5702.28</v>
      </c>
      <c r="F6" s="2" t="s">
        <v>41</v>
      </c>
      <c r="G6" s="2" t="s">
        <v>41</v>
      </c>
      <c r="H6" s="2">
        <v>0</v>
      </c>
      <c r="I6" s="2">
        <v>0</v>
      </c>
      <c r="J6" s="2">
        <v>32.35</v>
      </c>
      <c r="K6" s="2">
        <v>53442.2</v>
      </c>
      <c r="L6" s="2" t="s">
        <v>41</v>
      </c>
      <c r="M6" s="2">
        <v>53442.2</v>
      </c>
      <c r="N6" s="2">
        <v>47739.92</v>
      </c>
      <c r="O6" s="2" t="s">
        <v>41</v>
      </c>
      <c r="P6" s="2">
        <v>413918.24</v>
      </c>
      <c r="Q6" s="2">
        <v>461658.16</v>
      </c>
    </row>
    <row r="7" spans="1:17" ht="15" customHeight="1" x14ac:dyDescent="0.25">
      <c r="A7" s="1" t="s">
        <v>6</v>
      </c>
      <c r="B7" s="1"/>
      <c r="C7" s="1"/>
      <c r="D7" s="2">
        <v>47045.88</v>
      </c>
      <c r="E7" s="2">
        <v>18821.88</v>
      </c>
      <c r="F7" s="2" t="s">
        <v>41</v>
      </c>
      <c r="G7" s="2" t="s">
        <v>41</v>
      </c>
      <c r="H7" s="2">
        <v>24</v>
      </c>
      <c r="I7" s="2">
        <v>75600</v>
      </c>
      <c r="J7" s="2">
        <v>48</v>
      </c>
      <c r="K7" s="2">
        <v>100800</v>
      </c>
      <c r="L7" s="2" t="s">
        <v>41</v>
      </c>
      <c r="M7" s="2">
        <v>176400</v>
      </c>
      <c r="N7" s="2">
        <v>157578.12</v>
      </c>
      <c r="O7" s="2" t="s">
        <v>41</v>
      </c>
      <c r="P7" s="2">
        <v>695117.4</v>
      </c>
      <c r="Q7" s="2">
        <v>852695.52</v>
      </c>
    </row>
    <row r="8" spans="1:17" ht="15" customHeight="1" x14ac:dyDescent="0.25">
      <c r="A8" s="1" t="s">
        <v>7</v>
      </c>
      <c r="B8" s="1"/>
      <c r="C8" s="1"/>
      <c r="D8" s="2">
        <v>45509.69</v>
      </c>
      <c r="E8" s="2">
        <v>18207.29</v>
      </c>
      <c r="F8" s="2" t="s">
        <v>41</v>
      </c>
      <c r="G8" s="2" t="s">
        <v>41</v>
      </c>
      <c r="H8" s="2">
        <v>15.4</v>
      </c>
      <c r="I8" s="2">
        <v>55440</v>
      </c>
      <c r="J8" s="2">
        <v>48</v>
      </c>
      <c r="K8" s="2">
        <v>115200</v>
      </c>
      <c r="L8" s="2" t="s">
        <v>41</v>
      </c>
      <c r="M8" s="2">
        <v>170640</v>
      </c>
      <c r="N8" s="2">
        <v>152432.71</v>
      </c>
      <c r="O8" s="2">
        <v>83592.210000000006</v>
      </c>
      <c r="P8" s="2" t="s">
        <v>41</v>
      </c>
      <c r="Q8" s="2">
        <v>236024.92</v>
      </c>
    </row>
    <row r="9" spans="1:17" ht="15" customHeight="1" x14ac:dyDescent="0.25">
      <c r="A9" s="1" t="s">
        <v>8</v>
      </c>
      <c r="B9" s="1"/>
      <c r="C9" s="1"/>
      <c r="D9" s="2">
        <v>27096.720000000001</v>
      </c>
      <c r="E9" s="2">
        <v>10840.72</v>
      </c>
      <c r="F9" s="2">
        <f>G9/2200</f>
        <v>3.5</v>
      </c>
      <c r="G9" s="2">
        <v>7700</v>
      </c>
      <c r="H9" s="2">
        <v>0</v>
      </c>
      <c r="I9" s="2">
        <v>0</v>
      </c>
      <c r="J9" s="2">
        <v>46.95</v>
      </c>
      <c r="K9" s="2">
        <v>93900</v>
      </c>
      <c r="L9" s="2" t="s">
        <v>41</v>
      </c>
      <c r="M9" s="2">
        <v>101600</v>
      </c>
      <c r="N9" s="2">
        <v>90759.28</v>
      </c>
      <c r="O9" s="2" t="s">
        <v>41</v>
      </c>
      <c r="P9" s="2">
        <v>697745.53</v>
      </c>
      <c r="Q9" s="2">
        <v>788504.81</v>
      </c>
    </row>
    <row r="10" spans="1:17" ht="15" customHeight="1" x14ac:dyDescent="0.25">
      <c r="A10" s="1" t="s">
        <v>9</v>
      </c>
      <c r="B10" s="1"/>
      <c r="C10" s="1"/>
      <c r="D10" s="2">
        <v>22470.01</v>
      </c>
      <c r="E10" s="2">
        <v>8989.69</v>
      </c>
      <c r="F10" s="2" t="s">
        <v>41</v>
      </c>
      <c r="G10" s="2" t="s">
        <v>41</v>
      </c>
      <c r="H10" s="2">
        <v>2</v>
      </c>
      <c r="I10" s="2">
        <v>4956</v>
      </c>
      <c r="J10" s="2">
        <v>48</v>
      </c>
      <c r="K10" s="2">
        <v>79296</v>
      </c>
      <c r="L10" s="2" t="s">
        <v>41</v>
      </c>
      <c r="M10" s="2">
        <v>84252</v>
      </c>
      <c r="N10" s="2">
        <v>75262.31</v>
      </c>
      <c r="O10" s="2" t="s">
        <v>41</v>
      </c>
      <c r="P10" s="2">
        <v>737563.02</v>
      </c>
      <c r="Q10" s="2">
        <v>812825.33</v>
      </c>
    </row>
    <row r="11" spans="1:17" ht="15" customHeight="1" x14ac:dyDescent="0.25">
      <c r="A11" s="1" t="s">
        <v>10</v>
      </c>
      <c r="B11" s="1"/>
      <c r="C11" s="1"/>
      <c r="D11" s="2">
        <v>39004.879999999997</v>
      </c>
      <c r="E11" s="2">
        <v>15604.88</v>
      </c>
      <c r="F11" s="2" t="s">
        <v>41</v>
      </c>
      <c r="G11" s="2" t="s">
        <v>41</v>
      </c>
      <c r="H11" s="2">
        <v>5.5</v>
      </c>
      <c r="I11" s="2">
        <v>21450</v>
      </c>
      <c r="J11" s="2">
        <v>48</v>
      </c>
      <c r="K11" s="2">
        <v>124800</v>
      </c>
      <c r="L11" s="2" t="s">
        <v>41</v>
      </c>
      <c r="M11" s="2">
        <v>146250</v>
      </c>
      <c r="N11" s="2">
        <v>130645.12</v>
      </c>
      <c r="O11" s="2">
        <v>93291.18</v>
      </c>
      <c r="P11" s="2" t="s">
        <v>41</v>
      </c>
      <c r="Q11" s="2">
        <v>223936.3</v>
      </c>
    </row>
    <row r="12" spans="1:17" ht="15" customHeight="1" x14ac:dyDescent="0.25">
      <c r="A12" s="1" t="s">
        <v>11</v>
      </c>
      <c r="B12" s="1"/>
      <c r="C12" s="1"/>
      <c r="D12" s="2">
        <v>38182.769999999997</v>
      </c>
      <c r="E12" s="2">
        <v>15275.97</v>
      </c>
      <c r="F12" s="2" t="s">
        <v>41</v>
      </c>
      <c r="G12" s="2" t="s">
        <v>41</v>
      </c>
      <c r="H12" s="2">
        <v>3.35</v>
      </c>
      <c r="I12" s="2">
        <v>13567.5</v>
      </c>
      <c r="J12" s="2">
        <v>48</v>
      </c>
      <c r="K12" s="2">
        <v>129600</v>
      </c>
      <c r="L12" s="2" t="s">
        <v>41</v>
      </c>
      <c r="M12" s="2">
        <v>143167.5</v>
      </c>
      <c r="N12" s="2">
        <v>127891.53</v>
      </c>
      <c r="O12" s="2">
        <v>93291.18</v>
      </c>
      <c r="P12" s="2" t="s">
        <v>41</v>
      </c>
      <c r="Q12" s="2">
        <v>221182.71</v>
      </c>
    </row>
    <row r="13" spans="1:17" ht="15" customHeight="1" x14ac:dyDescent="0.25">
      <c r="A13" s="1" t="s">
        <v>12</v>
      </c>
      <c r="B13" s="1"/>
      <c r="C13" s="1"/>
      <c r="D13" s="2">
        <v>21949.41</v>
      </c>
      <c r="E13" s="2">
        <v>8781.41</v>
      </c>
      <c r="F13" s="2" t="s">
        <v>41</v>
      </c>
      <c r="G13" s="2" t="s">
        <v>41</v>
      </c>
      <c r="H13" s="2">
        <v>0</v>
      </c>
      <c r="I13" s="2">
        <v>0</v>
      </c>
      <c r="J13" s="2">
        <v>41.15</v>
      </c>
      <c r="K13" s="2">
        <v>82300</v>
      </c>
      <c r="L13" s="2" t="s">
        <v>41</v>
      </c>
      <c r="M13" s="2">
        <v>82300</v>
      </c>
      <c r="N13" s="2">
        <v>73518.59</v>
      </c>
      <c r="O13" s="2">
        <v>91488.49</v>
      </c>
      <c r="P13" s="2" t="s">
        <v>41</v>
      </c>
      <c r="Q13" s="2">
        <v>165007.07999999999</v>
      </c>
    </row>
    <row r="14" spans="1:17" ht="15" customHeight="1" x14ac:dyDescent="0.25">
      <c r="A14" s="1" t="s">
        <v>13</v>
      </c>
      <c r="B14" s="1"/>
      <c r="C14" s="1"/>
      <c r="D14" s="2">
        <v>30003.75</v>
      </c>
      <c r="E14" s="2">
        <v>12003.75</v>
      </c>
      <c r="F14" s="2" t="s">
        <v>41</v>
      </c>
      <c r="G14" s="2" t="s">
        <v>41</v>
      </c>
      <c r="H14" s="2">
        <v>5.5</v>
      </c>
      <c r="I14" s="2">
        <v>16500</v>
      </c>
      <c r="J14" s="2">
        <v>48</v>
      </c>
      <c r="K14" s="2">
        <v>96000</v>
      </c>
      <c r="L14" s="2" t="s">
        <v>41</v>
      </c>
      <c r="M14" s="2">
        <v>112500</v>
      </c>
      <c r="N14" s="2">
        <v>100496.25</v>
      </c>
      <c r="O14" s="2">
        <v>89733.37</v>
      </c>
      <c r="P14" s="2" t="s">
        <v>41</v>
      </c>
      <c r="Q14" s="2">
        <v>190229.62</v>
      </c>
    </row>
    <row r="15" spans="1:17" ht="15" customHeight="1" x14ac:dyDescent="0.25">
      <c r="A15" s="1" t="s">
        <v>14</v>
      </c>
      <c r="B15" s="1"/>
      <c r="C15" s="1"/>
      <c r="D15" s="2">
        <v>48006</v>
      </c>
      <c r="E15" s="2">
        <v>19206</v>
      </c>
      <c r="F15" s="2" t="s">
        <v>41</v>
      </c>
      <c r="G15" s="2" t="s">
        <v>41</v>
      </c>
      <c r="H15" s="2">
        <v>18</v>
      </c>
      <c r="I15" s="2">
        <v>64800</v>
      </c>
      <c r="J15" s="2">
        <v>48</v>
      </c>
      <c r="K15" s="2">
        <v>115200</v>
      </c>
      <c r="L15" s="2" t="s">
        <v>41</v>
      </c>
      <c r="M15" s="2">
        <v>180000</v>
      </c>
      <c r="N15" s="2">
        <v>160794</v>
      </c>
      <c r="O15" s="2">
        <v>94497.13</v>
      </c>
      <c r="P15" s="2" t="s">
        <v>41</v>
      </c>
      <c r="Q15" s="2">
        <v>255291.13</v>
      </c>
    </row>
    <row r="16" spans="1:17" ht="15" customHeight="1" x14ac:dyDescent="0.25">
      <c r="A16" s="1" t="s">
        <v>15</v>
      </c>
      <c r="B16" s="1"/>
      <c r="C16" s="1"/>
      <c r="D16" s="2">
        <v>28163.52</v>
      </c>
      <c r="E16" s="2">
        <v>11267.52</v>
      </c>
      <c r="F16" s="2" t="s">
        <v>41</v>
      </c>
      <c r="G16" s="2" t="s">
        <v>41</v>
      </c>
      <c r="H16" s="2">
        <v>0</v>
      </c>
      <c r="I16" s="2">
        <v>0</v>
      </c>
      <c r="J16" s="2">
        <v>48</v>
      </c>
      <c r="K16" s="2">
        <v>105600</v>
      </c>
      <c r="L16" s="2" t="s">
        <v>41</v>
      </c>
      <c r="M16" s="2">
        <v>105600</v>
      </c>
      <c r="N16" s="2">
        <v>94332.479999999996</v>
      </c>
      <c r="O16" s="2">
        <v>91532.62</v>
      </c>
      <c r="P16" s="2" t="s">
        <v>41</v>
      </c>
      <c r="Q16" s="2">
        <v>185865.1</v>
      </c>
    </row>
    <row r="17" spans="1:17" ht="15" customHeight="1" x14ac:dyDescent="0.25">
      <c r="A17" s="1" t="s">
        <v>16</v>
      </c>
      <c r="B17" s="1"/>
      <c r="C17" s="1"/>
      <c r="D17" s="2">
        <v>38858.19</v>
      </c>
      <c r="E17" s="2">
        <v>15546.19</v>
      </c>
      <c r="F17" s="2" t="s">
        <v>41</v>
      </c>
      <c r="G17" s="2" t="s">
        <v>41</v>
      </c>
      <c r="H17" s="2">
        <v>0</v>
      </c>
      <c r="I17" s="2">
        <v>0</v>
      </c>
      <c r="J17" s="2">
        <v>47</v>
      </c>
      <c r="K17" s="2">
        <v>145700</v>
      </c>
      <c r="L17" s="2" t="s">
        <v>41</v>
      </c>
      <c r="M17" s="2">
        <v>145700</v>
      </c>
      <c r="N17" s="2">
        <v>130153.81</v>
      </c>
      <c r="O17" s="2" t="s">
        <v>41</v>
      </c>
      <c r="P17" s="2">
        <v>459297.51</v>
      </c>
      <c r="Q17" s="2">
        <v>589451.31999999995</v>
      </c>
    </row>
    <row r="18" spans="1:17" ht="15" customHeight="1" x14ac:dyDescent="0.25">
      <c r="A18" s="1" t="s">
        <v>17</v>
      </c>
      <c r="B18" s="1"/>
      <c r="C18" s="1"/>
      <c r="D18" s="2">
        <v>21148.240000000002</v>
      </c>
      <c r="E18" s="2">
        <v>8460.8799999999992</v>
      </c>
      <c r="F18" s="2" t="s">
        <v>41</v>
      </c>
      <c r="G18" s="2" t="s">
        <v>41</v>
      </c>
      <c r="H18" s="2">
        <v>0</v>
      </c>
      <c r="I18" s="2">
        <v>0</v>
      </c>
      <c r="J18" s="2">
        <v>48</v>
      </c>
      <c r="K18" s="2">
        <v>79296</v>
      </c>
      <c r="L18" s="2" t="s">
        <v>41</v>
      </c>
      <c r="M18" s="2">
        <v>79296</v>
      </c>
      <c r="N18" s="2">
        <v>70835.12</v>
      </c>
      <c r="O18" s="2" t="s">
        <v>41</v>
      </c>
      <c r="P18" s="2">
        <v>656351.04</v>
      </c>
      <c r="Q18" s="2">
        <v>727186.16</v>
      </c>
    </row>
    <row r="19" spans="1:17" ht="15" customHeight="1" x14ac:dyDescent="0.25">
      <c r="A19" s="1" t="s">
        <v>18</v>
      </c>
      <c r="B19" s="1"/>
      <c r="C19" s="1"/>
      <c r="D19" s="2">
        <v>42005.25</v>
      </c>
      <c r="E19" s="2">
        <v>16805.25</v>
      </c>
      <c r="F19" s="2" t="s">
        <v>41</v>
      </c>
      <c r="G19" s="2" t="s">
        <v>41</v>
      </c>
      <c r="H19" s="2">
        <v>3</v>
      </c>
      <c r="I19" s="2">
        <v>13500</v>
      </c>
      <c r="J19" s="2">
        <v>48</v>
      </c>
      <c r="K19" s="2">
        <v>144000</v>
      </c>
      <c r="L19" s="2">
        <v>10000</v>
      </c>
      <c r="M19" s="2">
        <v>157500</v>
      </c>
      <c r="N19" s="2">
        <v>130694.75</v>
      </c>
      <c r="O19" s="2">
        <v>90632.960000000006</v>
      </c>
      <c r="P19" s="2" t="s">
        <v>41</v>
      </c>
      <c r="Q19" s="2">
        <v>221327.71</v>
      </c>
    </row>
    <row r="20" spans="1:17" ht="15" customHeight="1" x14ac:dyDescent="0.25">
      <c r="A20" s="1" t="s">
        <v>19</v>
      </c>
      <c r="B20" s="1"/>
      <c r="C20" s="1"/>
      <c r="D20" s="2">
        <v>32044.01</v>
      </c>
      <c r="E20" s="2">
        <v>12820.01</v>
      </c>
      <c r="F20" s="2" t="s">
        <v>41</v>
      </c>
      <c r="G20" s="2" t="s">
        <v>41</v>
      </c>
      <c r="H20" s="2">
        <v>12.5</v>
      </c>
      <c r="I20" s="2">
        <v>33750</v>
      </c>
      <c r="J20" s="2">
        <v>48</v>
      </c>
      <c r="K20" s="2">
        <v>86400</v>
      </c>
      <c r="L20" s="2" t="s">
        <v>41</v>
      </c>
      <c r="M20" s="2">
        <v>120150</v>
      </c>
      <c r="N20" s="2">
        <v>107329.99</v>
      </c>
      <c r="O20" s="2" t="s">
        <v>41</v>
      </c>
      <c r="P20" s="2">
        <v>648193.86</v>
      </c>
      <c r="Q20" s="2">
        <v>755523.85</v>
      </c>
    </row>
    <row r="21" spans="1:17" ht="15" customHeight="1" x14ac:dyDescent="0.25">
      <c r="A21" s="1" t="s">
        <v>20</v>
      </c>
      <c r="B21" s="1"/>
      <c r="C21" s="1"/>
      <c r="D21" s="2">
        <v>16918.59</v>
      </c>
      <c r="E21" s="2">
        <v>6768.71</v>
      </c>
      <c r="F21" s="2" t="s">
        <v>41</v>
      </c>
      <c r="G21" s="2" t="s">
        <v>41</v>
      </c>
      <c r="H21" s="2">
        <v>0</v>
      </c>
      <c r="I21" s="2">
        <v>0</v>
      </c>
      <c r="J21" s="2">
        <v>38.4</v>
      </c>
      <c r="K21" s="2">
        <v>63436.800000000003</v>
      </c>
      <c r="L21" s="2" t="s">
        <v>41</v>
      </c>
      <c r="M21" s="2">
        <v>63436.800000000003</v>
      </c>
      <c r="N21" s="2">
        <v>56668.09</v>
      </c>
      <c r="O21" s="2" t="s">
        <v>41</v>
      </c>
      <c r="P21" s="2">
        <v>448071.01</v>
      </c>
      <c r="Q21" s="2">
        <v>504739.1</v>
      </c>
    </row>
    <row r="22" spans="1:17" ht="15" customHeight="1" x14ac:dyDescent="0.25">
      <c r="A22" s="1" t="s">
        <v>21</v>
      </c>
      <c r="B22" s="1"/>
      <c r="C22" s="1"/>
      <c r="D22" s="2">
        <v>32004</v>
      </c>
      <c r="E22" s="2">
        <v>12804</v>
      </c>
      <c r="F22" s="2" t="s">
        <v>41</v>
      </c>
      <c r="G22" s="2" t="s">
        <v>41</v>
      </c>
      <c r="H22" s="2">
        <v>0</v>
      </c>
      <c r="I22" s="2">
        <v>0</v>
      </c>
      <c r="J22" s="2">
        <v>48</v>
      </c>
      <c r="K22" s="2">
        <v>120000</v>
      </c>
      <c r="L22" s="2" t="s">
        <v>41</v>
      </c>
      <c r="M22" s="2">
        <v>120000</v>
      </c>
      <c r="N22" s="2">
        <v>107196</v>
      </c>
      <c r="O22" s="2">
        <v>46469.87</v>
      </c>
      <c r="P22" s="2" t="s">
        <v>41</v>
      </c>
      <c r="Q22" s="2">
        <v>153665.87</v>
      </c>
    </row>
    <row r="23" spans="1:17" ht="15" customHeight="1" x14ac:dyDescent="0.25">
      <c r="A23" s="1" t="s">
        <v>22</v>
      </c>
      <c r="B23" s="1"/>
      <c r="C23" s="1"/>
      <c r="D23" s="2">
        <v>45605.7</v>
      </c>
      <c r="E23" s="2">
        <v>18245.7</v>
      </c>
      <c r="F23" s="2" t="s">
        <v>41</v>
      </c>
      <c r="G23" s="2" t="s">
        <v>41</v>
      </c>
      <c r="H23" s="2">
        <v>6</v>
      </c>
      <c r="I23" s="2">
        <v>27000</v>
      </c>
      <c r="J23" s="2">
        <v>48</v>
      </c>
      <c r="K23" s="2">
        <v>144000</v>
      </c>
      <c r="L23" s="2">
        <v>0</v>
      </c>
      <c r="M23" s="2">
        <v>171000</v>
      </c>
      <c r="N23" s="2">
        <v>152754.29999999999</v>
      </c>
      <c r="O23" s="2">
        <v>91488.49</v>
      </c>
      <c r="P23" s="2" t="s">
        <v>41</v>
      </c>
      <c r="Q23" s="2">
        <v>244242.79</v>
      </c>
    </row>
    <row r="24" spans="1:17" ht="15" customHeight="1" x14ac:dyDescent="0.25">
      <c r="A24" s="1" t="s">
        <v>23</v>
      </c>
      <c r="B24" s="1"/>
      <c r="C24" s="1"/>
      <c r="D24" s="2">
        <v>45605.7</v>
      </c>
      <c r="E24" s="2">
        <v>18245.7</v>
      </c>
      <c r="F24" s="2" t="s">
        <v>41</v>
      </c>
      <c r="G24" s="2" t="s">
        <v>41</v>
      </c>
      <c r="H24" s="2">
        <v>6</v>
      </c>
      <c r="I24" s="2">
        <v>27000</v>
      </c>
      <c r="J24" s="2">
        <v>48</v>
      </c>
      <c r="K24" s="2">
        <v>144000</v>
      </c>
      <c r="L24" s="2" t="s">
        <v>41</v>
      </c>
      <c r="M24" s="2">
        <v>171000</v>
      </c>
      <c r="N24" s="2">
        <v>152754.29999999999</v>
      </c>
      <c r="O24" s="2" t="s">
        <v>41</v>
      </c>
      <c r="P24" s="2">
        <v>600650.44999999995</v>
      </c>
      <c r="Q24" s="2">
        <v>753404.75</v>
      </c>
    </row>
    <row r="25" spans="1:17" ht="15" customHeight="1" x14ac:dyDescent="0.25">
      <c r="A25" s="1" t="s">
        <v>24</v>
      </c>
      <c r="B25" s="1"/>
      <c r="C25" s="1"/>
      <c r="D25" s="2">
        <v>21148.240000000002</v>
      </c>
      <c r="E25" s="2">
        <v>8460.8799999999992</v>
      </c>
      <c r="F25" s="2" t="s">
        <v>41</v>
      </c>
      <c r="G25" s="2" t="s">
        <v>41</v>
      </c>
      <c r="H25" s="2">
        <v>0</v>
      </c>
      <c r="I25" s="2">
        <v>0</v>
      </c>
      <c r="J25" s="2">
        <v>48</v>
      </c>
      <c r="K25" s="2">
        <v>79296</v>
      </c>
      <c r="L25" s="2" t="s">
        <v>41</v>
      </c>
      <c r="M25" s="2">
        <v>79296</v>
      </c>
      <c r="N25" s="2">
        <v>70835.12</v>
      </c>
      <c r="O25" s="2" t="s">
        <v>41</v>
      </c>
      <c r="P25" s="2">
        <v>672055.04</v>
      </c>
      <c r="Q25" s="2">
        <v>742890.16</v>
      </c>
    </row>
    <row r="26" spans="1:17" ht="15" customHeight="1" x14ac:dyDescent="0.25">
      <c r="A26" s="1" t="s">
        <v>25</v>
      </c>
      <c r="B26" s="1"/>
      <c r="C26" s="1"/>
      <c r="D26" s="2">
        <v>18945.3</v>
      </c>
      <c r="E26" s="2">
        <v>7579.54</v>
      </c>
      <c r="F26" s="2" t="s">
        <v>41</v>
      </c>
      <c r="G26" s="2" t="s">
        <v>41</v>
      </c>
      <c r="H26" s="2">
        <v>0</v>
      </c>
      <c r="I26" s="2">
        <v>0</v>
      </c>
      <c r="J26" s="2">
        <v>43</v>
      </c>
      <c r="K26" s="2">
        <v>71036</v>
      </c>
      <c r="L26" s="2" t="s">
        <v>41</v>
      </c>
      <c r="M26" s="2">
        <v>71036</v>
      </c>
      <c r="N26" s="2">
        <v>63456.46</v>
      </c>
      <c r="O26" s="2" t="s">
        <v>41</v>
      </c>
      <c r="P26" s="2">
        <v>534720.71</v>
      </c>
      <c r="Q26" s="2">
        <v>598177.17000000004</v>
      </c>
    </row>
    <row r="27" spans="1:17" ht="15" customHeight="1" x14ac:dyDescent="0.25">
      <c r="A27" s="1" t="s">
        <v>26</v>
      </c>
      <c r="B27" s="1"/>
      <c r="C27" s="1"/>
      <c r="D27" s="2">
        <v>34564.32</v>
      </c>
      <c r="E27" s="2">
        <v>13828.32</v>
      </c>
      <c r="F27" s="2" t="s">
        <v>41</v>
      </c>
      <c r="G27" s="2" t="s">
        <v>41</v>
      </c>
      <c r="H27" s="2">
        <v>4</v>
      </c>
      <c r="I27" s="2">
        <v>14400</v>
      </c>
      <c r="J27" s="2">
        <v>48</v>
      </c>
      <c r="K27" s="2">
        <v>115200</v>
      </c>
      <c r="L27" s="2">
        <v>25000</v>
      </c>
      <c r="M27" s="2">
        <v>129600</v>
      </c>
      <c r="N27" s="2">
        <v>90771.68</v>
      </c>
      <c r="O27" s="2">
        <v>75471.33</v>
      </c>
      <c r="P27" s="2" t="s">
        <v>41</v>
      </c>
      <c r="Q27" s="2">
        <v>166243.01</v>
      </c>
    </row>
    <row r="28" spans="1:17" ht="15" customHeight="1" x14ac:dyDescent="0.25">
      <c r="A28" s="1" t="s">
        <v>27</v>
      </c>
      <c r="B28" s="1"/>
      <c r="C28" s="1"/>
      <c r="D28" s="2">
        <v>38344.79</v>
      </c>
      <c r="E28" s="2">
        <v>15340.79</v>
      </c>
      <c r="F28" s="2" t="s">
        <v>41</v>
      </c>
      <c r="G28" s="2" t="s">
        <v>41</v>
      </c>
      <c r="H28" s="2">
        <v>3.5</v>
      </c>
      <c r="I28" s="2">
        <v>14175</v>
      </c>
      <c r="J28" s="2">
        <v>48</v>
      </c>
      <c r="K28" s="2">
        <v>129600</v>
      </c>
      <c r="L28" s="2" t="s">
        <v>41</v>
      </c>
      <c r="M28" s="2">
        <v>143775</v>
      </c>
      <c r="N28" s="2">
        <v>128434.21</v>
      </c>
      <c r="O28" s="2">
        <v>83592.210000000006</v>
      </c>
      <c r="P28" s="2" t="s">
        <v>41</v>
      </c>
      <c r="Q28" s="2">
        <v>212026.42</v>
      </c>
    </row>
    <row r="29" spans="1:17" ht="15" customHeight="1" x14ac:dyDescent="0.25">
      <c r="A29" s="1" t="s">
        <v>28</v>
      </c>
      <c r="B29" s="1"/>
      <c r="C29" s="1"/>
      <c r="D29" s="2">
        <v>32092.01</v>
      </c>
      <c r="E29" s="2">
        <v>12839.21</v>
      </c>
      <c r="F29" s="2" t="s">
        <v>41</v>
      </c>
      <c r="G29" s="2" t="s">
        <v>41</v>
      </c>
      <c r="H29" s="2">
        <v>6.2</v>
      </c>
      <c r="I29" s="2">
        <v>19530</v>
      </c>
      <c r="J29" s="2">
        <v>48</v>
      </c>
      <c r="K29" s="2">
        <v>100800</v>
      </c>
      <c r="L29" s="2" t="s">
        <v>41</v>
      </c>
      <c r="M29" s="2">
        <v>120330</v>
      </c>
      <c r="N29" s="2">
        <v>107490.79</v>
      </c>
      <c r="O29" s="2">
        <v>83592.210000000006</v>
      </c>
      <c r="P29" s="2" t="s">
        <v>41</v>
      </c>
      <c r="Q29" s="2">
        <v>191083</v>
      </c>
    </row>
    <row r="30" spans="1:17" ht="15" customHeight="1" x14ac:dyDescent="0.25">
      <c r="A30" s="1" t="s">
        <v>29</v>
      </c>
      <c r="B30" s="1"/>
      <c r="C30" s="1"/>
      <c r="D30" s="2">
        <v>21869.4</v>
      </c>
      <c r="E30" s="2">
        <v>8749.4</v>
      </c>
      <c r="F30" s="2" t="s">
        <v>41</v>
      </c>
      <c r="G30" s="2" t="s">
        <v>41</v>
      </c>
      <c r="H30" s="2">
        <v>0</v>
      </c>
      <c r="I30" s="2">
        <v>0</v>
      </c>
      <c r="J30" s="2">
        <v>32.799999999999997</v>
      </c>
      <c r="K30" s="2">
        <v>82000</v>
      </c>
      <c r="L30" s="2" t="s">
        <v>41</v>
      </c>
      <c r="M30" s="2">
        <v>82000</v>
      </c>
      <c r="N30" s="2">
        <v>73250.600000000006</v>
      </c>
      <c r="O30" s="2">
        <v>27940.98</v>
      </c>
      <c r="P30" s="2" t="s">
        <v>41</v>
      </c>
      <c r="Q30" s="2">
        <v>101191.58</v>
      </c>
    </row>
    <row r="31" spans="1:17" ht="15" customHeight="1" x14ac:dyDescent="0.25">
      <c r="A31" s="1" t="s">
        <v>30</v>
      </c>
      <c r="B31" s="1"/>
      <c r="C31" s="1"/>
      <c r="D31" s="2">
        <v>20531.419999999998</v>
      </c>
      <c r="E31" s="2">
        <v>8214.11</v>
      </c>
      <c r="F31" s="2" t="s">
        <v>41</v>
      </c>
      <c r="G31" s="2" t="s">
        <v>41</v>
      </c>
      <c r="H31" s="2">
        <v>0</v>
      </c>
      <c r="I31" s="2">
        <v>0</v>
      </c>
      <c r="J31" s="2">
        <v>46.6</v>
      </c>
      <c r="K31" s="2">
        <v>76983.199999999997</v>
      </c>
      <c r="L31" s="2" t="s">
        <v>41</v>
      </c>
      <c r="M31" s="2">
        <v>76983.199999999997</v>
      </c>
      <c r="N31" s="2">
        <v>68769.09</v>
      </c>
      <c r="O31" s="2" t="s">
        <v>41</v>
      </c>
      <c r="P31" s="2">
        <v>609553.06999999995</v>
      </c>
      <c r="Q31" s="2">
        <v>678322.16</v>
      </c>
    </row>
    <row r="32" spans="1:17" ht="15" customHeight="1" x14ac:dyDescent="0.25">
      <c r="A32" s="1" t="s">
        <v>31</v>
      </c>
      <c r="B32" s="1"/>
      <c r="C32" s="1"/>
      <c r="D32" s="2">
        <v>31203.9</v>
      </c>
      <c r="E32" s="2">
        <v>12483.9</v>
      </c>
      <c r="F32" s="2" t="s">
        <v>41</v>
      </c>
      <c r="G32" s="2" t="s">
        <v>41</v>
      </c>
      <c r="H32" s="2">
        <v>7</v>
      </c>
      <c r="I32" s="2">
        <v>21000</v>
      </c>
      <c r="J32" s="2">
        <v>48</v>
      </c>
      <c r="K32" s="2">
        <v>96000</v>
      </c>
      <c r="L32" s="2">
        <v>75000</v>
      </c>
      <c r="M32" s="2">
        <v>117000</v>
      </c>
      <c r="N32" s="2">
        <v>29516.1</v>
      </c>
      <c r="O32" s="2" t="s">
        <v>41</v>
      </c>
      <c r="P32" s="2">
        <v>663647.72</v>
      </c>
      <c r="Q32" s="2">
        <v>693163.82</v>
      </c>
    </row>
    <row r="33" spans="1:17" ht="15" customHeight="1" x14ac:dyDescent="0.25">
      <c r="A33" s="1" t="s">
        <v>32</v>
      </c>
      <c r="B33" s="1"/>
      <c r="C33" s="1"/>
      <c r="D33" s="2">
        <v>26670</v>
      </c>
      <c r="E33" s="2">
        <v>10670</v>
      </c>
      <c r="F33" s="2" t="s">
        <v>41</v>
      </c>
      <c r="G33" s="2" t="s">
        <v>41</v>
      </c>
      <c r="H33" s="2">
        <v>0</v>
      </c>
      <c r="I33" s="2">
        <v>0</v>
      </c>
      <c r="J33" s="2">
        <v>40</v>
      </c>
      <c r="K33" s="2">
        <v>100000</v>
      </c>
      <c r="L33" s="2" t="s">
        <v>41</v>
      </c>
      <c r="M33" s="2">
        <v>100000</v>
      </c>
      <c r="N33" s="2">
        <v>89330</v>
      </c>
      <c r="O33" s="2">
        <v>94497.13</v>
      </c>
      <c r="P33" s="2" t="s">
        <v>41</v>
      </c>
      <c r="Q33" s="2">
        <v>183827.13</v>
      </c>
    </row>
    <row r="34" spans="1:17" ht="15" customHeight="1" x14ac:dyDescent="0.25">
      <c r="A34" s="1" t="s">
        <v>33</v>
      </c>
      <c r="B34" s="1"/>
      <c r="C34" s="1"/>
      <c r="D34" s="2">
        <v>0</v>
      </c>
      <c r="E34" s="2">
        <v>0</v>
      </c>
      <c r="F34" s="2" t="s">
        <v>41</v>
      </c>
      <c r="G34" s="2" t="s">
        <v>41</v>
      </c>
      <c r="H34" s="2">
        <v>0</v>
      </c>
      <c r="I34" s="2">
        <v>0</v>
      </c>
      <c r="J34" s="2">
        <v>0</v>
      </c>
      <c r="K34" s="2">
        <v>0</v>
      </c>
      <c r="L34" s="2" t="s">
        <v>41</v>
      </c>
      <c r="M34" s="2">
        <v>0</v>
      </c>
      <c r="N34" s="2">
        <v>0</v>
      </c>
      <c r="O34" s="2">
        <v>105794.66</v>
      </c>
      <c r="P34" s="2" t="s">
        <v>41</v>
      </c>
      <c r="Q34" s="2">
        <v>105794.66</v>
      </c>
    </row>
    <row r="35" spans="1:17" ht="15" customHeight="1" x14ac:dyDescent="0.25">
      <c r="A35" s="1" t="s">
        <v>34</v>
      </c>
      <c r="B35" s="1"/>
      <c r="C35" s="1"/>
      <c r="D35" s="2">
        <v>20773.740000000002</v>
      </c>
      <c r="E35" s="2">
        <v>8311.06</v>
      </c>
      <c r="F35" s="2" t="s">
        <v>41</v>
      </c>
      <c r="G35" s="2" t="s">
        <v>41</v>
      </c>
      <c r="H35" s="2">
        <v>0</v>
      </c>
      <c r="I35" s="2">
        <v>0</v>
      </c>
      <c r="J35" s="2">
        <v>47.15</v>
      </c>
      <c r="K35" s="2">
        <v>77891.8</v>
      </c>
      <c r="L35" s="2" t="s">
        <v>41</v>
      </c>
      <c r="M35" s="2">
        <v>77891.8</v>
      </c>
      <c r="N35" s="2">
        <v>69580.740000000005</v>
      </c>
      <c r="O35" s="2" t="s">
        <v>41</v>
      </c>
      <c r="P35" s="2">
        <v>569216.88</v>
      </c>
      <c r="Q35" s="2">
        <v>638797.62</v>
      </c>
    </row>
    <row r="36" spans="1:17" ht="15" customHeight="1" x14ac:dyDescent="0.25">
      <c r="A36" s="1" t="s">
        <v>35</v>
      </c>
      <c r="B36" s="1"/>
      <c r="C36" s="1"/>
      <c r="D36" s="2">
        <v>22589.49</v>
      </c>
      <c r="E36" s="2">
        <v>9037.49</v>
      </c>
      <c r="F36" s="2" t="s">
        <v>41</v>
      </c>
      <c r="G36" s="2" t="s">
        <v>41</v>
      </c>
      <c r="H36" s="2">
        <v>0</v>
      </c>
      <c r="I36" s="2">
        <v>0</v>
      </c>
      <c r="J36" s="2">
        <v>42.35</v>
      </c>
      <c r="K36" s="2">
        <v>84700</v>
      </c>
      <c r="L36" s="2" t="s">
        <v>41</v>
      </c>
      <c r="M36" s="2">
        <v>84700</v>
      </c>
      <c r="N36" s="2">
        <v>75662.509999999995</v>
      </c>
      <c r="O36" s="2">
        <v>80190.960000000006</v>
      </c>
      <c r="P36" s="2" t="s">
        <v>41</v>
      </c>
      <c r="Q36" s="2">
        <v>155853.47</v>
      </c>
    </row>
    <row r="37" spans="1:17" ht="15" customHeight="1" x14ac:dyDescent="0.25">
      <c r="A37" s="1" t="s">
        <v>36</v>
      </c>
      <c r="B37" s="1"/>
      <c r="C37" s="1"/>
      <c r="D37" s="2">
        <v>1026228.65</v>
      </c>
      <c r="E37" s="2">
        <v>410568.43</v>
      </c>
      <c r="F37" s="2">
        <v>3.5</v>
      </c>
      <c r="G37" s="2">
        <v>7700</v>
      </c>
      <c r="H37" s="2">
        <v>139.25</v>
      </c>
      <c r="I37" s="2">
        <v>477298.5</v>
      </c>
      <c r="J37" s="2">
        <v>1513.75</v>
      </c>
      <c r="K37" s="2">
        <v>3362878</v>
      </c>
      <c r="L37" s="2">
        <v>110000</v>
      </c>
      <c r="M37" s="2">
        <v>3847876.5</v>
      </c>
      <c r="N37" s="2">
        <v>3327308.07</v>
      </c>
      <c r="O37" s="2">
        <v>1643342.97</v>
      </c>
      <c r="P37" s="2">
        <v>8406101.4800000004</v>
      </c>
      <c r="Q37" s="2">
        <v>13376752.52</v>
      </c>
    </row>
  </sheetData>
  <mergeCells count="40">
    <mergeCell ref="F1:G1"/>
    <mergeCell ref="H1:I1"/>
    <mergeCell ref="J1:K1"/>
    <mergeCell ref="A1:C1"/>
    <mergeCell ref="A37:C37"/>
    <mergeCell ref="A32:C32"/>
    <mergeCell ref="A33:C33"/>
    <mergeCell ref="A34:C34"/>
    <mergeCell ref="A35:C35"/>
    <mergeCell ref="A36:C36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E8D1-1FCA-45AB-8700-0D7EDD8568F9}">
  <dimension ref="A1:O17"/>
  <sheetViews>
    <sheetView workbookViewId="0">
      <selection sqref="A1:XFD104857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15" width="14.28515625" customWidth="1"/>
  </cols>
  <sheetData>
    <row r="1" spans="1:15" ht="45" x14ac:dyDescent="0.25">
      <c r="A1" s="7" t="s">
        <v>51</v>
      </c>
      <c r="B1" s="8"/>
      <c r="C1" s="9"/>
      <c r="D1" s="3"/>
      <c r="E1" s="3"/>
      <c r="F1" s="4" t="s">
        <v>42</v>
      </c>
      <c r="G1" s="4"/>
      <c r="H1" s="4" t="s">
        <v>43</v>
      </c>
      <c r="I1" s="4"/>
      <c r="J1" s="3" t="s">
        <v>45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44</v>
      </c>
    </row>
    <row r="2" spans="1:15" ht="30" x14ac:dyDescent="0.25">
      <c r="A2" s="5" t="s">
        <v>1</v>
      </c>
      <c r="B2" s="5"/>
      <c r="C2" s="5"/>
      <c r="D2" s="6" t="s">
        <v>38</v>
      </c>
      <c r="E2" s="3" t="s">
        <v>39</v>
      </c>
      <c r="F2" s="6" t="s">
        <v>0</v>
      </c>
      <c r="G2" s="6" t="s">
        <v>37</v>
      </c>
      <c r="H2" s="6" t="s">
        <v>0</v>
      </c>
      <c r="I2" s="6" t="s">
        <v>37</v>
      </c>
      <c r="J2" s="6" t="s">
        <v>37</v>
      </c>
      <c r="K2" s="6" t="s">
        <v>37</v>
      </c>
      <c r="L2" s="6" t="s">
        <v>37</v>
      </c>
      <c r="M2" s="6" t="s">
        <v>37</v>
      </c>
      <c r="N2" s="6" t="s">
        <v>37</v>
      </c>
      <c r="O2" s="6" t="s">
        <v>37</v>
      </c>
    </row>
    <row r="3" spans="1:15" ht="15" customHeight="1" x14ac:dyDescent="0.25">
      <c r="A3" s="1" t="s">
        <v>52</v>
      </c>
      <c r="B3" s="1"/>
      <c r="C3" s="1"/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 t="s">
        <v>41</v>
      </c>
      <c r="K3" s="2">
        <v>0</v>
      </c>
      <c r="L3" s="2">
        <v>0</v>
      </c>
      <c r="M3" s="2">
        <v>107572.69</v>
      </c>
      <c r="N3" s="2" t="s">
        <v>41</v>
      </c>
      <c r="O3" s="2">
        <v>107572.69</v>
      </c>
    </row>
    <row r="4" spans="1:15" ht="15" customHeight="1" x14ac:dyDescent="0.25">
      <c r="A4" s="1" t="s">
        <v>53</v>
      </c>
      <c r="B4" s="1"/>
      <c r="C4" s="1"/>
      <c r="D4" s="2">
        <v>25873.63</v>
      </c>
      <c r="E4" s="2">
        <v>10351.39</v>
      </c>
      <c r="F4" s="2">
        <v>6</v>
      </c>
      <c r="G4" s="2">
        <v>15318</v>
      </c>
      <c r="H4" s="2">
        <v>48</v>
      </c>
      <c r="I4" s="2">
        <v>81696</v>
      </c>
      <c r="J4" s="2" t="s">
        <v>41</v>
      </c>
      <c r="K4" s="2">
        <v>97014</v>
      </c>
      <c r="L4" s="2">
        <v>86662.61</v>
      </c>
      <c r="M4" s="2" t="s">
        <v>41</v>
      </c>
      <c r="N4" s="2">
        <v>665068.5</v>
      </c>
      <c r="O4" s="2">
        <v>751731.11</v>
      </c>
    </row>
    <row r="5" spans="1:15" ht="15" customHeight="1" x14ac:dyDescent="0.25">
      <c r="A5" s="1" t="s">
        <v>54</v>
      </c>
      <c r="B5" s="1"/>
      <c r="C5" s="1"/>
      <c r="D5" s="2">
        <v>34324.29</v>
      </c>
      <c r="E5" s="2">
        <v>13732.29</v>
      </c>
      <c r="F5" s="2">
        <v>10.9</v>
      </c>
      <c r="G5" s="2">
        <v>32700</v>
      </c>
      <c r="H5" s="2">
        <v>48</v>
      </c>
      <c r="I5" s="2">
        <v>96000</v>
      </c>
      <c r="J5" s="2" t="s">
        <v>41</v>
      </c>
      <c r="K5" s="2">
        <v>128700</v>
      </c>
      <c r="L5" s="2">
        <v>114967.71</v>
      </c>
      <c r="M5" s="2" t="s">
        <v>41</v>
      </c>
      <c r="N5" s="2">
        <v>735834.45</v>
      </c>
      <c r="O5" s="2">
        <v>850802.16</v>
      </c>
    </row>
    <row r="6" spans="1:15" ht="15" customHeight="1" x14ac:dyDescent="0.25">
      <c r="A6" s="1" t="s">
        <v>55</v>
      </c>
      <c r="B6" s="1"/>
      <c r="C6" s="1"/>
      <c r="D6" s="2">
        <v>58907.360000000001</v>
      </c>
      <c r="E6" s="2">
        <v>23567.360000000001</v>
      </c>
      <c r="F6" s="2">
        <v>15.5</v>
      </c>
      <c r="G6" s="2">
        <v>72075</v>
      </c>
      <c r="H6" s="2">
        <v>48</v>
      </c>
      <c r="I6" s="2">
        <v>148800</v>
      </c>
      <c r="J6" s="2">
        <v>30000</v>
      </c>
      <c r="K6" s="2">
        <v>220875</v>
      </c>
      <c r="L6" s="2">
        <v>167307.64000000001</v>
      </c>
      <c r="M6" s="2">
        <v>111715.53</v>
      </c>
      <c r="N6" s="2" t="s">
        <v>41</v>
      </c>
      <c r="O6" s="2">
        <v>279023.17</v>
      </c>
    </row>
    <row r="7" spans="1:15" ht="15" customHeight="1" x14ac:dyDescent="0.25">
      <c r="A7" s="1" t="s">
        <v>56</v>
      </c>
      <c r="B7" s="1"/>
      <c r="C7" s="1"/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41</v>
      </c>
      <c r="K7" s="2">
        <v>0</v>
      </c>
      <c r="L7" s="2">
        <v>0</v>
      </c>
      <c r="M7" s="2" t="s">
        <v>41</v>
      </c>
      <c r="N7" s="2">
        <v>675255.18</v>
      </c>
      <c r="O7" s="2">
        <v>675255.18</v>
      </c>
    </row>
    <row r="8" spans="1:15" ht="15" customHeight="1" x14ac:dyDescent="0.25">
      <c r="A8" s="1" t="s">
        <v>57</v>
      </c>
      <c r="B8" s="1"/>
      <c r="C8" s="1"/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 t="s">
        <v>41</v>
      </c>
      <c r="K8" s="2">
        <v>0</v>
      </c>
      <c r="L8" s="2">
        <v>0</v>
      </c>
      <c r="M8" s="2" t="s">
        <v>41</v>
      </c>
      <c r="N8" s="2">
        <v>680925.29</v>
      </c>
      <c r="O8" s="2">
        <v>680925.29</v>
      </c>
    </row>
    <row r="9" spans="1:15" ht="15" customHeight="1" x14ac:dyDescent="0.25">
      <c r="A9" s="1" t="s">
        <v>58</v>
      </c>
      <c r="B9" s="1"/>
      <c r="C9" s="1"/>
      <c r="D9" s="2">
        <v>43954.29</v>
      </c>
      <c r="E9" s="2">
        <v>17585.009999999998</v>
      </c>
      <c r="F9" s="2">
        <v>7.24</v>
      </c>
      <c r="G9" s="2">
        <v>30408</v>
      </c>
      <c r="H9" s="2">
        <v>48</v>
      </c>
      <c r="I9" s="2">
        <v>134400</v>
      </c>
      <c r="J9" s="2" t="s">
        <v>41</v>
      </c>
      <c r="K9" s="2">
        <v>164808</v>
      </c>
      <c r="L9" s="2">
        <v>147222.99</v>
      </c>
      <c r="M9" s="2">
        <v>108145.15</v>
      </c>
      <c r="N9" s="2" t="s">
        <v>41</v>
      </c>
      <c r="O9" s="2">
        <v>255368.14</v>
      </c>
    </row>
    <row r="10" spans="1:15" ht="15" customHeight="1" x14ac:dyDescent="0.25">
      <c r="A10" s="1" t="s">
        <v>59</v>
      </c>
      <c r="B10" s="1"/>
      <c r="C10" s="1"/>
      <c r="D10" s="2">
        <v>51106.39</v>
      </c>
      <c r="E10" s="2">
        <v>20446.39</v>
      </c>
      <c r="F10" s="2">
        <v>19.100000000000001</v>
      </c>
      <c r="G10" s="2">
        <v>71625</v>
      </c>
      <c r="H10" s="2">
        <v>48</v>
      </c>
      <c r="I10" s="2">
        <v>120000</v>
      </c>
      <c r="J10" s="2" t="s">
        <v>41</v>
      </c>
      <c r="K10" s="2">
        <v>191625</v>
      </c>
      <c r="L10" s="2">
        <v>171178.61</v>
      </c>
      <c r="M10" s="2">
        <v>105258.98</v>
      </c>
      <c r="N10" s="2" t="s">
        <v>41</v>
      </c>
      <c r="O10" s="2">
        <v>276437.59000000003</v>
      </c>
    </row>
    <row r="11" spans="1:15" ht="15" customHeight="1" x14ac:dyDescent="0.25">
      <c r="A11" s="1" t="s">
        <v>60</v>
      </c>
      <c r="B11" s="1"/>
      <c r="C11" s="1"/>
      <c r="D11" s="2">
        <v>35844.480000000003</v>
      </c>
      <c r="E11" s="2">
        <v>14340.48</v>
      </c>
      <c r="F11" s="2">
        <v>0</v>
      </c>
      <c r="G11" s="2">
        <v>0</v>
      </c>
      <c r="H11" s="2">
        <v>48</v>
      </c>
      <c r="I11" s="2">
        <v>134400</v>
      </c>
      <c r="J11" s="2" t="s">
        <v>41</v>
      </c>
      <c r="K11" s="2">
        <v>134400</v>
      </c>
      <c r="L11" s="2">
        <v>120059.52</v>
      </c>
      <c r="M11" s="2">
        <v>64449.39</v>
      </c>
      <c r="N11" s="2" t="s">
        <v>41</v>
      </c>
      <c r="O11" s="2">
        <v>184508.91</v>
      </c>
    </row>
    <row r="12" spans="1:15" ht="15" customHeight="1" x14ac:dyDescent="0.25">
      <c r="A12" s="1" t="s">
        <v>61</v>
      </c>
      <c r="B12" s="1"/>
      <c r="C12" s="1"/>
      <c r="D12" s="2">
        <v>51756.47</v>
      </c>
      <c r="E12" s="2">
        <v>20706.47</v>
      </c>
      <c r="F12" s="2">
        <v>19.75</v>
      </c>
      <c r="G12" s="2">
        <v>74062.5</v>
      </c>
      <c r="H12" s="2">
        <v>48</v>
      </c>
      <c r="I12" s="2">
        <v>120000</v>
      </c>
      <c r="J12" s="2" t="s">
        <v>41</v>
      </c>
      <c r="K12" s="2">
        <v>194062.5</v>
      </c>
      <c r="L12" s="2">
        <v>173356.03</v>
      </c>
      <c r="M12" s="2">
        <v>113916.83</v>
      </c>
      <c r="N12" s="2" t="s">
        <v>41</v>
      </c>
      <c r="O12" s="2">
        <v>287272.86</v>
      </c>
    </row>
    <row r="13" spans="1:15" ht="15" customHeight="1" x14ac:dyDescent="0.25">
      <c r="A13" s="1" t="s">
        <v>62</v>
      </c>
      <c r="B13" s="1"/>
      <c r="C13" s="1"/>
      <c r="D13" s="2">
        <v>42565.32</v>
      </c>
      <c r="E13" s="2">
        <v>17029.32</v>
      </c>
      <c r="F13" s="2">
        <v>21.2</v>
      </c>
      <c r="G13" s="2">
        <v>63600</v>
      </c>
      <c r="H13" s="2">
        <v>48</v>
      </c>
      <c r="I13" s="2">
        <v>96000</v>
      </c>
      <c r="J13" s="2" t="s">
        <v>41</v>
      </c>
      <c r="K13" s="2">
        <v>159600</v>
      </c>
      <c r="L13" s="2">
        <v>142570.68</v>
      </c>
      <c r="M13" s="2">
        <v>105258.98</v>
      </c>
      <c r="N13" s="2" t="s">
        <v>41</v>
      </c>
      <c r="O13" s="2">
        <v>247829.66</v>
      </c>
    </row>
    <row r="14" spans="1:15" ht="15" customHeight="1" x14ac:dyDescent="0.25">
      <c r="A14" s="1" t="s">
        <v>63</v>
      </c>
      <c r="B14" s="1"/>
      <c r="C14" s="1"/>
      <c r="D14" s="2">
        <v>21788.32</v>
      </c>
      <c r="E14" s="2">
        <v>8716.9599999999991</v>
      </c>
      <c r="F14" s="2">
        <v>0</v>
      </c>
      <c r="G14" s="2">
        <v>0</v>
      </c>
      <c r="H14" s="2">
        <v>48</v>
      </c>
      <c r="I14" s="2">
        <v>81696</v>
      </c>
      <c r="J14" s="2" t="s">
        <v>41</v>
      </c>
      <c r="K14" s="2">
        <v>81696</v>
      </c>
      <c r="L14" s="2">
        <v>72979.039999999994</v>
      </c>
      <c r="M14" s="2" t="s">
        <v>41</v>
      </c>
      <c r="N14" s="2">
        <v>675255.18</v>
      </c>
      <c r="O14" s="2">
        <v>748234.22</v>
      </c>
    </row>
    <row r="15" spans="1:15" ht="15" customHeight="1" x14ac:dyDescent="0.25">
      <c r="A15" s="1" t="s">
        <v>64</v>
      </c>
      <c r="B15" s="1"/>
      <c r="C15" s="1"/>
      <c r="D15" s="2">
        <v>29618.5</v>
      </c>
      <c r="E15" s="2">
        <v>11849.62</v>
      </c>
      <c r="F15" s="2">
        <v>11.5</v>
      </c>
      <c r="G15" s="2">
        <v>29359.5</v>
      </c>
      <c r="H15" s="2">
        <v>48</v>
      </c>
      <c r="I15" s="2">
        <v>81696</v>
      </c>
      <c r="J15" s="2" t="s">
        <v>41</v>
      </c>
      <c r="K15" s="2">
        <v>111055.5</v>
      </c>
      <c r="L15" s="2">
        <v>99205.88</v>
      </c>
      <c r="M15" s="2" t="s">
        <v>41</v>
      </c>
      <c r="N15" s="2">
        <v>656071.89</v>
      </c>
      <c r="O15" s="2">
        <v>755277.77</v>
      </c>
    </row>
    <row r="16" spans="1:15" ht="15" customHeight="1" x14ac:dyDescent="0.25">
      <c r="A16" s="1" t="s">
        <v>65</v>
      </c>
      <c r="B16" s="1"/>
      <c r="C16" s="1"/>
      <c r="D16" s="2">
        <v>31923.99</v>
      </c>
      <c r="E16" s="2">
        <v>12771.99</v>
      </c>
      <c r="F16" s="2">
        <v>7.9</v>
      </c>
      <c r="G16" s="2">
        <v>23700</v>
      </c>
      <c r="H16" s="2">
        <v>48</v>
      </c>
      <c r="I16" s="2">
        <v>96000</v>
      </c>
      <c r="J16" s="2" t="s">
        <v>41</v>
      </c>
      <c r="K16" s="2">
        <v>119700</v>
      </c>
      <c r="L16" s="2">
        <v>106928.01</v>
      </c>
      <c r="M16" s="2" t="s">
        <v>41</v>
      </c>
      <c r="N16" s="2">
        <v>665068.5</v>
      </c>
      <c r="O16" s="2">
        <v>771996.51</v>
      </c>
    </row>
    <row r="17" spans="1:15" ht="15" customHeight="1" x14ac:dyDescent="0.25">
      <c r="A17" s="1" t="s">
        <v>36</v>
      </c>
      <c r="B17" s="1"/>
      <c r="C17" s="1"/>
      <c r="D17" s="2">
        <v>427663.04</v>
      </c>
      <c r="E17" s="2">
        <v>171097.28</v>
      </c>
      <c r="F17" s="2">
        <v>119.09</v>
      </c>
      <c r="G17" s="2">
        <v>412848</v>
      </c>
      <c r="H17" s="2">
        <v>528</v>
      </c>
      <c r="I17" s="2">
        <v>1190688</v>
      </c>
      <c r="J17" s="2">
        <v>30000</v>
      </c>
      <c r="K17" s="2">
        <v>1603536</v>
      </c>
      <c r="L17" s="2">
        <v>1402438.72</v>
      </c>
      <c r="M17" s="2">
        <v>716317.55</v>
      </c>
      <c r="N17" s="2">
        <v>4753478.99</v>
      </c>
      <c r="O17" s="2">
        <v>6872235.2599999998</v>
      </c>
    </row>
  </sheetData>
  <mergeCells count="19">
    <mergeCell ref="A17:C17"/>
    <mergeCell ref="A11:C11"/>
    <mergeCell ref="A12:C12"/>
    <mergeCell ref="A13:C13"/>
    <mergeCell ref="A14:C14"/>
    <mergeCell ref="A15:C15"/>
    <mergeCell ref="A16:C16"/>
    <mergeCell ref="A5:C5"/>
    <mergeCell ref="A6:C6"/>
    <mergeCell ref="A7:C7"/>
    <mergeCell ref="A8:C8"/>
    <mergeCell ref="A9:C9"/>
    <mergeCell ref="A10:C10"/>
    <mergeCell ref="A1:C1"/>
    <mergeCell ref="F1:G1"/>
    <mergeCell ref="H1:I1"/>
    <mergeCell ref="A2:C2"/>
    <mergeCell ref="A3:C3"/>
    <mergeCell ref="A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4434B-FFF1-4180-876E-F7EAB0670674}">
  <dimension ref="A1:N12"/>
  <sheetViews>
    <sheetView tabSelected="1" workbookViewId="0">
      <selection activeCell="E10" sqref="E10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14" width="14.28515625" customWidth="1"/>
  </cols>
  <sheetData>
    <row r="1" spans="1:14" ht="45" x14ac:dyDescent="0.25">
      <c r="A1" s="7" t="s">
        <v>66</v>
      </c>
      <c r="B1" s="8"/>
      <c r="C1" s="9"/>
      <c r="D1" s="3"/>
      <c r="E1" s="3"/>
      <c r="F1" s="4" t="s">
        <v>42</v>
      </c>
      <c r="G1" s="4"/>
      <c r="H1" s="4" t="s">
        <v>43</v>
      </c>
      <c r="I1" s="4"/>
      <c r="J1" s="3" t="s">
        <v>46</v>
      </c>
      <c r="K1" s="3" t="s">
        <v>47</v>
      </c>
      <c r="L1" s="3" t="s">
        <v>48</v>
      </c>
      <c r="M1" s="3" t="s">
        <v>49</v>
      </c>
      <c r="N1" s="3" t="s">
        <v>44</v>
      </c>
    </row>
    <row r="2" spans="1:14" ht="30" x14ac:dyDescent="0.25">
      <c r="A2" s="5" t="s">
        <v>1</v>
      </c>
      <c r="B2" s="5"/>
      <c r="C2" s="5"/>
      <c r="D2" s="6" t="s">
        <v>38</v>
      </c>
      <c r="E2" s="3" t="s">
        <v>39</v>
      </c>
      <c r="F2" s="6" t="s">
        <v>0</v>
      </c>
      <c r="G2" s="6" t="s">
        <v>37</v>
      </c>
      <c r="H2" s="6" t="s">
        <v>0</v>
      </c>
      <c r="I2" s="6" t="s">
        <v>37</v>
      </c>
      <c r="J2" s="6" t="s">
        <v>37</v>
      </c>
      <c r="K2" s="6" t="s">
        <v>37</v>
      </c>
      <c r="L2" s="6" t="s">
        <v>37</v>
      </c>
      <c r="M2" s="6" t="s">
        <v>37</v>
      </c>
      <c r="N2" s="6" t="s">
        <v>37</v>
      </c>
    </row>
    <row r="3" spans="1:14" ht="15" customHeight="1" x14ac:dyDescent="0.25">
      <c r="A3" s="1" t="s">
        <v>67</v>
      </c>
      <c r="B3" s="1"/>
      <c r="C3" s="1"/>
      <c r="D3" s="2">
        <v>40101.01</v>
      </c>
      <c r="E3" s="2">
        <v>16043.41</v>
      </c>
      <c r="F3" s="2">
        <v>3.8</v>
      </c>
      <c r="G3" s="2">
        <v>15960</v>
      </c>
      <c r="H3" s="2">
        <v>48</v>
      </c>
      <c r="I3" s="2">
        <v>134400</v>
      </c>
      <c r="J3" s="2">
        <v>150360</v>
      </c>
      <c r="K3" s="2">
        <v>134316.59</v>
      </c>
      <c r="L3" s="2">
        <v>20186.91</v>
      </c>
      <c r="M3" s="2" t="s">
        <v>41</v>
      </c>
      <c r="N3" s="2">
        <v>154503.5</v>
      </c>
    </row>
    <row r="4" spans="1:14" ht="15" customHeight="1" x14ac:dyDescent="0.25">
      <c r="A4" s="1" t="s">
        <v>68</v>
      </c>
      <c r="B4" s="1"/>
      <c r="C4" s="1"/>
      <c r="D4" s="2">
        <v>34372.300000000003</v>
      </c>
      <c r="E4" s="2">
        <v>13751.5</v>
      </c>
      <c r="F4" s="2">
        <v>3.8</v>
      </c>
      <c r="G4" s="2">
        <v>13680</v>
      </c>
      <c r="H4" s="2">
        <v>48</v>
      </c>
      <c r="I4" s="2">
        <v>115200</v>
      </c>
      <c r="J4" s="2">
        <v>128880</v>
      </c>
      <c r="K4" s="2">
        <v>115128.5</v>
      </c>
      <c r="L4" s="2" t="s">
        <v>41</v>
      </c>
      <c r="M4" s="2">
        <v>108530.36</v>
      </c>
      <c r="N4" s="2">
        <v>223658.86</v>
      </c>
    </row>
    <row r="5" spans="1:14" ht="15" customHeight="1" x14ac:dyDescent="0.25">
      <c r="A5" s="1" t="s">
        <v>69</v>
      </c>
      <c r="B5" s="1"/>
      <c r="C5" s="1"/>
      <c r="D5" s="2">
        <v>35044.379999999997</v>
      </c>
      <c r="E5" s="2">
        <v>14020.38</v>
      </c>
      <c r="F5" s="2">
        <v>11.8</v>
      </c>
      <c r="G5" s="2">
        <v>35400</v>
      </c>
      <c r="H5" s="2">
        <v>48</v>
      </c>
      <c r="I5" s="2">
        <v>96000</v>
      </c>
      <c r="J5" s="2">
        <v>131400</v>
      </c>
      <c r="K5" s="2">
        <v>117379.62</v>
      </c>
      <c r="L5" s="2">
        <v>20186.91</v>
      </c>
      <c r="M5" s="2" t="s">
        <v>41</v>
      </c>
      <c r="N5" s="2">
        <v>137566.53</v>
      </c>
    </row>
    <row r="6" spans="1:14" ht="15" customHeight="1" x14ac:dyDescent="0.25">
      <c r="A6" s="1" t="s">
        <v>70</v>
      </c>
      <c r="B6" s="1"/>
      <c r="C6" s="1"/>
      <c r="D6" s="2">
        <v>51366.42</v>
      </c>
      <c r="E6" s="2">
        <v>20550.419999999998</v>
      </c>
      <c r="F6" s="2">
        <v>10.8</v>
      </c>
      <c r="G6" s="2">
        <v>48600</v>
      </c>
      <c r="H6" s="2">
        <v>48</v>
      </c>
      <c r="I6" s="2">
        <v>144000</v>
      </c>
      <c r="J6" s="2">
        <v>192600</v>
      </c>
      <c r="K6" s="2">
        <v>172049.58</v>
      </c>
      <c r="L6" s="2">
        <v>20186.91</v>
      </c>
      <c r="M6" s="2" t="s">
        <v>41</v>
      </c>
      <c r="N6" s="2">
        <v>192236.49</v>
      </c>
    </row>
    <row r="7" spans="1:14" ht="15" customHeight="1" x14ac:dyDescent="0.25">
      <c r="A7" s="1" t="s">
        <v>71</v>
      </c>
      <c r="B7" s="1"/>
      <c r="C7" s="1"/>
      <c r="D7" s="2">
        <v>57607.199999999997</v>
      </c>
      <c r="E7" s="2">
        <v>23047.200000000001</v>
      </c>
      <c r="F7" s="2">
        <v>16</v>
      </c>
      <c r="G7" s="2">
        <v>72000</v>
      </c>
      <c r="H7" s="2">
        <v>48</v>
      </c>
      <c r="I7" s="2">
        <v>144000</v>
      </c>
      <c r="J7" s="2">
        <v>216000</v>
      </c>
      <c r="K7" s="2">
        <v>192952.8</v>
      </c>
      <c r="L7" s="2" t="s">
        <v>41</v>
      </c>
      <c r="M7" s="2" t="s">
        <v>41</v>
      </c>
      <c r="N7" s="2">
        <v>192952.8</v>
      </c>
    </row>
    <row r="8" spans="1:14" ht="15" customHeight="1" x14ac:dyDescent="0.25">
      <c r="A8" s="1" t="s">
        <v>72</v>
      </c>
      <c r="B8" s="1"/>
      <c r="C8" s="1"/>
      <c r="D8" s="2">
        <v>44905.61</v>
      </c>
      <c r="E8" s="2">
        <v>17965.61</v>
      </c>
      <c r="F8" s="2">
        <v>12.9</v>
      </c>
      <c r="G8" s="2">
        <v>48375</v>
      </c>
      <c r="H8" s="2">
        <v>48</v>
      </c>
      <c r="I8" s="2">
        <v>120000</v>
      </c>
      <c r="J8" s="2">
        <v>168375</v>
      </c>
      <c r="K8" s="2">
        <v>150409.39000000001</v>
      </c>
      <c r="L8" s="2">
        <v>20186.91</v>
      </c>
      <c r="M8" s="2" t="s">
        <v>41</v>
      </c>
      <c r="N8" s="2">
        <v>170596.3</v>
      </c>
    </row>
    <row r="9" spans="1:14" ht="15" customHeight="1" x14ac:dyDescent="0.25">
      <c r="A9" s="1" t="s">
        <v>73</v>
      </c>
      <c r="B9" s="1"/>
      <c r="C9" s="1"/>
      <c r="D9" s="2">
        <v>28308.87</v>
      </c>
      <c r="E9" s="2">
        <v>11325.67</v>
      </c>
      <c r="F9" s="2">
        <v>0</v>
      </c>
      <c r="G9" s="2">
        <v>0</v>
      </c>
      <c r="H9" s="2">
        <v>46.15</v>
      </c>
      <c r="I9" s="2">
        <v>106145</v>
      </c>
      <c r="J9" s="2">
        <v>106145</v>
      </c>
      <c r="K9" s="2">
        <v>94819.33</v>
      </c>
      <c r="L9" s="2" t="s">
        <v>41</v>
      </c>
      <c r="M9" s="2">
        <v>108530.36</v>
      </c>
      <c r="N9" s="2">
        <v>203349.69</v>
      </c>
    </row>
    <row r="10" spans="1:14" ht="15" customHeight="1" x14ac:dyDescent="0.25">
      <c r="A10" s="1" t="s">
        <v>74</v>
      </c>
      <c r="B10" s="1"/>
      <c r="C10" s="1"/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 t="s">
        <v>41</v>
      </c>
      <c r="N10" s="2">
        <v>0</v>
      </c>
    </row>
    <row r="11" spans="1:14" ht="15" customHeight="1" x14ac:dyDescent="0.25">
      <c r="A11" s="1" t="s">
        <v>75</v>
      </c>
      <c r="B11" s="1"/>
      <c r="C11" s="1"/>
      <c r="D11" s="2">
        <v>30163.77</v>
      </c>
      <c r="E11" s="2">
        <v>12067.77</v>
      </c>
      <c r="F11" s="2">
        <v>5.7</v>
      </c>
      <c r="G11" s="2">
        <v>17100</v>
      </c>
      <c r="H11" s="2">
        <v>48</v>
      </c>
      <c r="I11" s="2">
        <v>96000</v>
      </c>
      <c r="J11" s="2">
        <v>113100</v>
      </c>
      <c r="K11" s="2">
        <v>101032.23</v>
      </c>
      <c r="L11" s="2">
        <v>20186.91</v>
      </c>
      <c r="M11" s="2" t="s">
        <v>41</v>
      </c>
      <c r="N11" s="2">
        <v>121219.14</v>
      </c>
    </row>
    <row r="12" spans="1:14" ht="15" customHeight="1" x14ac:dyDescent="0.25">
      <c r="A12" s="1" t="s">
        <v>36</v>
      </c>
      <c r="B12" s="1"/>
      <c r="C12" s="1"/>
      <c r="D12" s="2">
        <v>321869.56</v>
      </c>
      <c r="E12" s="2">
        <v>128771.96</v>
      </c>
      <c r="F12" s="2">
        <v>64.8</v>
      </c>
      <c r="G12" s="2">
        <v>251115</v>
      </c>
      <c r="H12" s="2">
        <v>382.15</v>
      </c>
      <c r="I12" s="2">
        <v>955745</v>
      </c>
      <c r="J12" s="2">
        <v>1206860</v>
      </c>
      <c r="K12" s="2">
        <v>1078088.04</v>
      </c>
      <c r="L12" s="2">
        <v>100934.55</v>
      </c>
      <c r="M12" s="2">
        <v>217060.72</v>
      </c>
      <c r="N12" s="2">
        <v>1396083.31</v>
      </c>
    </row>
  </sheetData>
  <mergeCells count="14">
    <mergeCell ref="A11:C11"/>
    <mergeCell ref="A12:C12"/>
    <mergeCell ref="A5:C5"/>
    <mergeCell ref="A6:C6"/>
    <mergeCell ref="A7:C7"/>
    <mergeCell ref="A8:C8"/>
    <mergeCell ref="A9:C9"/>
    <mergeCell ref="A10:C10"/>
    <mergeCell ref="A1:C1"/>
    <mergeCell ref="F1:G1"/>
    <mergeCell ref="H1:I1"/>
    <mergeCell ref="A2:C2"/>
    <mergeCell ref="A3:C3"/>
    <mergeCell ref="A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23BF7-AE0F-4F66-9A45-4D2840000220}">
  <dimension ref="A1:N10"/>
  <sheetViews>
    <sheetView workbookViewId="0">
      <selection activeCell="E12" sqref="E12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7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12" width="14.28515625" customWidth="1"/>
    <col min="13" max="13" width="13.140625" bestFit="1" customWidth="1"/>
    <col min="14" max="14" width="17.7109375" customWidth="1"/>
  </cols>
  <sheetData>
    <row r="1" spans="1:14" ht="45" x14ac:dyDescent="0.25">
      <c r="A1" s="7" t="s">
        <v>76</v>
      </c>
      <c r="B1" s="8"/>
      <c r="C1" s="9"/>
      <c r="D1" s="4" t="s">
        <v>42</v>
      </c>
      <c r="E1" s="4"/>
      <c r="F1" s="4" t="s">
        <v>77</v>
      </c>
      <c r="G1" s="4"/>
      <c r="H1" s="4" t="s">
        <v>43</v>
      </c>
      <c r="I1" s="4"/>
      <c r="J1" s="3" t="s">
        <v>46</v>
      </c>
      <c r="K1" s="3" t="s">
        <v>47</v>
      </c>
      <c r="L1" s="3" t="s">
        <v>48</v>
      </c>
      <c r="M1" s="3" t="s">
        <v>49</v>
      </c>
      <c r="N1" s="3" t="s">
        <v>44</v>
      </c>
    </row>
    <row r="2" spans="1:14" ht="15" customHeight="1" x14ac:dyDescent="0.25">
      <c r="A2" s="5" t="s">
        <v>1</v>
      </c>
      <c r="B2" s="5"/>
      <c r="C2" s="5"/>
      <c r="D2" s="6" t="s">
        <v>0</v>
      </c>
      <c r="E2" s="6" t="s">
        <v>37</v>
      </c>
      <c r="F2" s="6" t="s">
        <v>0</v>
      </c>
      <c r="G2" s="6" t="s">
        <v>37</v>
      </c>
      <c r="H2" s="6" t="s">
        <v>0</v>
      </c>
      <c r="I2" s="6" t="s">
        <v>37</v>
      </c>
      <c r="J2" s="6" t="s">
        <v>37</v>
      </c>
      <c r="K2" s="6" t="s">
        <v>37</v>
      </c>
      <c r="L2" s="6" t="s">
        <v>37</v>
      </c>
      <c r="M2" s="6" t="s">
        <v>37</v>
      </c>
      <c r="N2" s="6" t="s">
        <v>37</v>
      </c>
    </row>
    <row r="3" spans="1:14" ht="15" customHeight="1" x14ac:dyDescent="0.25">
      <c r="A3" s="1" t="s">
        <v>78</v>
      </c>
      <c r="B3" s="1"/>
      <c r="C3" s="1"/>
      <c r="D3" s="2">
        <v>0</v>
      </c>
      <c r="E3" s="2">
        <v>0</v>
      </c>
      <c r="F3" s="2" t="s">
        <v>41</v>
      </c>
      <c r="G3" s="2" t="s">
        <v>41</v>
      </c>
      <c r="H3" s="2">
        <v>14.97</v>
      </c>
      <c r="I3" s="2">
        <v>29940</v>
      </c>
      <c r="J3" s="2">
        <v>29940</v>
      </c>
      <c r="K3" s="2">
        <v>29940</v>
      </c>
      <c r="L3" s="2">
        <v>33525.879999999997</v>
      </c>
      <c r="M3" s="2" t="s">
        <v>41</v>
      </c>
      <c r="N3" s="2">
        <v>63465.88</v>
      </c>
    </row>
    <row r="4" spans="1:14" ht="15" customHeight="1" x14ac:dyDescent="0.25">
      <c r="A4" s="1" t="s">
        <v>79</v>
      </c>
      <c r="B4" s="1"/>
      <c r="C4" s="1"/>
      <c r="D4" s="2">
        <v>0</v>
      </c>
      <c r="E4" s="2">
        <v>0</v>
      </c>
      <c r="F4" s="2" t="s">
        <v>41</v>
      </c>
      <c r="G4" s="2" t="s">
        <v>41</v>
      </c>
      <c r="H4" s="2">
        <v>41.15</v>
      </c>
      <c r="I4" s="2">
        <v>67979.8</v>
      </c>
      <c r="J4" s="2">
        <v>67979.8</v>
      </c>
      <c r="K4" s="2">
        <v>67979.8</v>
      </c>
      <c r="L4" s="2" t="s">
        <v>41</v>
      </c>
      <c r="M4" s="2">
        <v>583894.5</v>
      </c>
      <c r="N4" s="2">
        <v>651874.30000000005</v>
      </c>
    </row>
    <row r="5" spans="1:14" ht="15" customHeight="1" x14ac:dyDescent="0.25">
      <c r="A5" s="1" t="s">
        <v>80</v>
      </c>
      <c r="B5" s="1"/>
      <c r="C5" s="1"/>
      <c r="D5" s="2">
        <v>3.9</v>
      </c>
      <c r="E5" s="2">
        <v>15795</v>
      </c>
      <c r="F5" s="2">
        <f>G5/2500</f>
        <v>40.69</v>
      </c>
      <c r="G5" s="2">
        <v>101725</v>
      </c>
      <c r="H5" s="2">
        <v>48</v>
      </c>
      <c r="I5" s="2">
        <v>129600</v>
      </c>
      <c r="J5" s="2">
        <v>247120</v>
      </c>
      <c r="K5" s="2">
        <v>247120</v>
      </c>
      <c r="L5" s="2">
        <v>107572.69</v>
      </c>
      <c r="M5" s="2" t="s">
        <v>41</v>
      </c>
      <c r="N5" s="2">
        <v>354692.69</v>
      </c>
    </row>
    <row r="6" spans="1:14" ht="15" customHeight="1" x14ac:dyDescent="0.25">
      <c r="A6" s="1" t="s">
        <v>81</v>
      </c>
      <c r="B6" s="1"/>
      <c r="C6" s="1"/>
      <c r="D6" s="2">
        <v>10</v>
      </c>
      <c r="E6" s="2">
        <v>25530</v>
      </c>
      <c r="F6" s="2" t="s">
        <v>41</v>
      </c>
      <c r="G6" s="2" t="s">
        <v>41</v>
      </c>
      <c r="H6" s="2">
        <v>48</v>
      </c>
      <c r="I6" s="2">
        <v>81696</v>
      </c>
      <c r="J6" s="2">
        <v>107226</v>
      </c>
      <c r="K6" s="2">
        <v>107226</v>
      </c>
      <c r="L6" s="2" t="s">
        <v>41</v>
      </c>
      <c r="M6" s="2">
        <v>685522.15</v>
      </c>
      <c r="N6" s="2">
        <v>792748.15</v>
      </c>
    </row>
    <row r="7" spans="1:14" ht="15" customHeight="1" x14ac:dyDescent="0.25">
      <c r="A7" s="1" t="s">
        <v>82</v>
      </c>
      <c r="B7" s="1"/>
      <c r="C7" s="1"/>
      <c r="D7" s="2">
        <v>16</v>
      </c>
      <c r="E7" s="2">
        <v>67200</v>
      </c>
      <c r="F7" s="2" t="s">
        <v>41</v>
      </c>
      <c r="G7" s="2" t="s">
        <v>41</v>
      </c>
      <c r="H7" s="2">
        <v>48</v>
      </c>
      <c r="I7" s="2">
        <v>134400</v>
      </c>
      <c r="J7" s="2">
        <v>201600</v>
      </c>
      <c r="K7" s="2">
        <v>201600</v>
      </c>
      <c r="L7" s="2">
        <v>112533.83</v>
      </c>
      <c r="M7" s="2" t="s">
        <v>41</v>
      </c>
      <c r="N7" s="2">
        <v>314133.83</v>
      </c>
    </row>
    <row r="8" spans="1:14" ht="15" customHeight="1" x14ac:dyDescent="0.25">
      <c r="A8" s="1" t="s">
        <v>83</v>
      </c>
      <c r="B8" s="1"/>
      <c r="C8" s="1"/>
      <c r="D8" s="2">
        <v>12</v>
      </c>
      <c r="E8" s="2">
        <v>36000</v>
      </c>
      <c r="F8" s="2" t="s">
        <v>41</v>
      </c>
      <c r="G8" s="2" t="s">
        <v>41</v>
      </c>
      <c r="H8" s="2">
        <v>48</v>
      </c>
      <c r="I8" s="2">
        <v>96000</v>
      </c>
      <c r="J8" s="2">
        <v>132000</v>
      </c>
      <c r="K8" s="2">
        <v>132000</v>
      </c>
      <c r="L8" s="2">
        <v>91488.49</v>
      </c>
      <c r="M8" s="2" t="s">
        <v>41</v>
      </c>
      <c r="N8" s="2">
        <v>223488.49</v>
      </c>
    </row>
    <row r="9" spans="1:14" ht="15" customHeight="1" x14ac:dyDescent="0.25">
      <c r="A9" s="1" t="s">
        <v>84</v>
      </c>
      <c r="B9" s="1"/>
      <c r="C9" s="1"/>
      <c r="D9" s="2">
        <v>1</v>
      </c>
      <c r="E9" s="2">
        <v>3000</v>
      </c>
      <c r="F9" s="2" t="s">
        <v>41</v>
      </c>
      <c r="G9" s="2" t="s">
        <v>41</v>
      </c>
      <c r="H9" s="2">
        <v>48</v>
      </c>
      <c r="I9" s="2">
        <v>96000</v>
      </c>
      <c r="J9" s="2">
        <v>99000</v>
      </c>
      <c r="K9" s="2">
        <v>99000</v>
      </c>
      <c r="L9" s="2">
        <v>30862.91</v>
      </c>
      <c r="M9" s="2" t="s">
        <v>41</v>
      </c>
      <c r="N9" s="2">
        <v>129862.91</v>
      </c>
    </row>
    <row r="10" spans="1:14" ht="15" customHeight="1" x14ac:dyDescent="0.25">
      <c r="A10" s="1" t="s">
        <v>36</v>
      </c>
      <c r="B10" s="1"/>
      <c r="C10" s="1"/>
      <c r="D10" s="2">
        <v>42.9</v>
      </c>
      <c r="E10" s="2">
        <v>147525</v>
      </c>
      <c r="F10" s="2">
        <v>40.69</v>
      </c>
      <c r="G10" s="2">
        <v>101725</v>
      </c>
      <c r="H10" s="2">
        <v>296.12</v>
      </c>
      <c r="I10" s="2">
        <v>635615.80000000005</v>
      </c>
      <c r="J10" s="2">
        <v>884865.8</v>
      </c>
      <c r="K10" s="2">
        <v>884865.8</v>
      </c>
      <c r="L10" s="2">
        <v>375983.8</v>
      </c>
      <c r="M10" s="2">
        <v>1269416.6499999999</v>
      </c>
      <c r="N10" s="2">
        <v>2530266.25</v>
      </c>
    </row>
  </sheetData>
  <mergeCells count="13">
    <mergeCell ref="A10:C10"/>
    <mergeCell ref="A4:C4"/>
    <mergeCell ref="A5:C5"/>
    <mergeCell ref="A6:C6"/>
    <mergeCell ref="A7:C7"/>
    <mergeCell ref="A8:C8"/>
    <mergeCell ref="A9:C9"/>
    <mergeCell ref="A1:C1"/>
    <mergeCell ref="D1:E1"/>
    <mergeCell ref="F1:G1"/>
    <mergeCell ref="H1:I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2026-02-02T21:31:42Z</dcterms:modified>
</cp:coreProperties>
</file>